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BA260D3B-E5BB-47EE-9D39-D711847520F7}" xr6:coauthVersionLast="47" xr6:coauthVersionMax="47" xr10:uidLastSave="{00000000-0000-0000-0000-000000000000}"/>
  <bookViews>
    <workbookView xWindow="7125" yWindow="4395" windowWidth="21600" windowHeight="11190" xr2:uid="{03B1D514-E4B6-41C0-BB37-48C3338E6694}"/>
  </bookViews>
  <sheets>
    <sheet name="Notes" sheetId="1" r:id="rId1"/>
    <sheet name="Comparison - Other" sheetId="2" r:id="rId2"/>
    <sheet name="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0" i="2" l="1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</calcChain>
</file>

<file path=xl/sharedStrings.xml><?xml version="1.0" encoding="utf-8"?>
<sst xmlns="http://schemas.openxmlformats.org/spreadsheetml/2006/main" count="5962" uniqueCount="1030">
  <si>
    <t xml:space="preserve">S-One/ Sarasota,FL(CORP OFFICE)         </t>
  </si>
  <si>
    <t xml:space="preserve">        CIN2</t>
  </si>
  <si>
    <t>PL</t>
  </si>
  <si>
    <t xml:space="preserve">DP050-PL                 </t>
  </si>
  <si>
    <t xml:space="preserve">  </t>
  </si>
  <si>
    <t xml:space="preserve">Customer Pick-up                        </t>
  </si>
  <si>
    <t xml:space="preserve">   </t>
  </si>
  <si>
    <t xml:space="preserve">                              </t>
  </si>
  <si>
    <t>B1</t>
  </si>
  <si>
    <t xml:space="preserve">DP680-B1                 </t>
  </si>
  <si>
    <t xml:space="preserve">Barentz - (Sold To)Coatings&amp;Adhesi ONLY </t>
  </si>
  <si>
    <t>TO</t>
  </si>
  <si>
    <t xml:space="preserve">J1751-T2                 </t>
  </si>
  <si>
    <t xml:space="preserve">no longer transplace          </t>
  </si>
  <si>
    <t xml:space="preserve">DOW - (TOLL-BILL/SOLD)Dallas,TX         </t>
  </si>
  <si>
    <t xml:space="preserve">        CINC</t>
  </si>
  <si>
    <t>LB</t>
  </si>
  <si>
    <t xml:space="preserve">HYPOD8510                </t>
  </si>
  <si>
    <t xml:space="preserve">N/A                           </t>
  </si>
  <si>
    <t xml:space="preserve">FMS Enterprises - Lincolnton, NC        </t>
  </si>
  <si>
    <t>DR</t>
  </si>
  <si>
    <t xml:space="preserve">MFHS268-OP               </t>
  </si>
  <si>
    <t xml:space="preserve">CH Robinson (T/L)                       </t>
  </si>
  <si>
    <t>SCH</t>
  </si>
  <si>
    <t xml:space="preserve">Lubrizol - Painesville, OH              </t>
  </si>
  <si>
    <t xml:space="preserve">LIQLUB405-T2             </t>
  </si>
  <si>
    <t xml:space="preserve">Michelman Int'l - Belgium SRL           </t>
  </si>
  <si>
    <t>SS</t>
  </si>
  <si>
    <t xml:space="preserve">E43-SS                   </t>
  </si>
  <si>
    <t>FC</t>
  </si>
  <si>
    <t xml:space="preserve">3PL                                     </t>
  </si>
  <si>
    <t xml:space="preserve">DAP AUBANGE                   </t>
  </si>
  <si>
    <t xml:space="preserve">Graphic Pkg - Portland, OR              </t>
  </si>
  <si>
    <t xml:space="preserve">CLG2103-T3               </t>
  </si>
  <si>
    <t xml:space="preserve">ML156-T3                 </t>
  </si>
  <si>
    <t xml:space="preserve">Willamette Valley - Lithonia GA         </t>
  </si>
  <si>
    <t xml:space="preserve">ML693-T3                 </t>
  </si>
  <si>
    <t xml:space="preserve">CH Robinson (LTL)                       </t>
  </si>
  <si>
    <t xml:space="preserve">Axalta - Cornwall, ON, CA               </t>
  </si>
  <si>
    <t xml:space="preserve">ME93235-FD               </t>
  </si>
  <si>
    <t xml:space="preserve">R &amp; L Carriers                          </t>
  </si>
  <si>
    <t>axaltainbound@argussolutions.n</t>
  </si>
  <si>
    <t xml:space="preserve">Alliance Designer - Laval Quebec        </t>
  </si>
  <si>
    <t xml:space="preserve">NSHLD30-FD               </t>
  </si>
  <si>
    <t xml:space="preserve">PPG Inds. - Euclid, OH                  </t>
  </si>
  <si>
    <t xml:space="preserve">ME39815-T2               </t>
  </si>
  <si>
    <t xml:space="preserve">Gemini Ctgs - El Reno, OK               </t>
  </si>
  <si>
    <t xml:space="preserve">MIWAX127                 </t>
  </si>
  <si>
    <t xml:space="preserve">FEDEX Priority                          </t>
  </si>
  <si>
    <t>Not a Tanker - Cust orders LBS</t>
  </si>
  <si>
    <t xml:space="preserve">Sun Digital S.A. de C.V.-México         </t>
  </si>
  <si>
    <t>PA</t>
  </si>
  <si>
    <t xml:space="preserve">DP050-P2                 </t>
  </si>
  <si>
    <t xml:space="preserve">FCA LAREDO, TX                </t>
  </si>
  <si>
    <t xml:space="preserve">DP680-P1                 </t>
  </si>
  <si>
    <t xml:space="preserve">DPV9000-P1               </t>
  </si>
  <si>
    <t xml:space="preserve">ME24414-PD               </t>
  </si>
  <si>
    <t xml:space="preserve">Wausau Coated - Wausau, WI              </t>
  </si>
  <si>
    <t xml:space="preserve">DPI8600-FD               </t>
  </si>
  <si>
    <t xml:space="preserve">Dayton Freight Lines                    </t>
  </si>
  <si>
    <t xml:space="preserve">BLANKET WRAP / FREEZE PROTECT </t>
  </si>
  <si>
    <t xml:space="preserve">Sherwin Williams - Morrow, GA           </t>
  </si>
  <si>
    <t xml:space="preserve">ME62330-T3               </t>
  </si>
  <si>
    <t xml:space="preserve">Sonoco Oper San Luis - Laredo,TX        </t>
  </si>
  <si>
    <t xml:space="preserve">RCPLUSFR-OP              </t>
  </si>
  <si>
    <t xml:space="preserve">DAP Laredo TX                 </t>
  </si>
  <si>
    <t xml:space="preserve">Solenis - Int'l Paper, Mansfield, LA    </t>
  </si>
  <si>
    <t xml:space="preserve">SDP500                   </t>
  </si>
  <si>
    <t xml:space="preserve">07/16/26 06:30 LOAD           </t>
  </si>
  <si>
    <t xml:space="preserve">KHI Coatings - Oxford, MI               </t>
  </si>
  <si>
    <t xml:space="preserve">KHI205-FD                </t>
  </si>
  <si>
    <t xml:space="preserve">SEE B/L NOTES                 </t>
  </si>
  <si>
    <t xml:space="preserve">KHI340-FD                </t>
  </si>
  <si>
    <t xml:space="preserve">Marmon - Seymour, CT                    </t>
  </si>
  <si>
    <t xml:space="preserve">ME94340-PL               </t>
  </si>
  <si>
    <t xml:space="preserve">Sonoco - Tiffin, OH                     </t>
  </si>
  <si>
    <t xml:space="preserve">RC39AFG-OP               </t>
  </si>
  <si>
    <t xml:space="preserve">CorrChoice/PCA, MassillonOH             </t>
  </si>
  <si>
    <t xml:space="preserve">NM73-T3                  </t>
  </si>
  <si>
    <t xml:space="preserve">DO NOT SEND -FD'S             </t>
  </si>
  <si>
    <t xml:space="preserve">VAPCT501S-T3             </t>
  </si>
  <si>
    <t xml:space="preserve">X300AF-T3                </t>
  </si>
  <si>
    <t xml:space="preserve">PRX20097-SS              </t>
  </si>
  <si>
    <t>CP</t>
  </si>
  <si>
    <t xml:space="preserve">Torch Surface Tech - Whitmore Lake, MI  </t>
  </si>
  <si>
    <t xml:space="preserve">MP4983R-FD               </t>
  </si>
  <si>
    <t xml:space="preserve">Clariant (Sold-to) - Charlotte, NC      </t>
  </si>
  <si>
    <t xml:space="preserve">LC410TP-T2               </t>
  </si>
  <si>
    <t xml:space="preserve">Taghleef Industries - Quebec, CA        </t>
  </si>
  <si>
    <t xml:space="preserve">ML160RPH-FD              </t>
  </si>
  <si>
    <t xml:space="preserve">XPO Logistics                           </t>
  </si>
  <si>
    <t xml:space="preserve">Rustoleum - Lesage WV                   </t>
  </si>
  <si>
    <t xml:space="preserve">ME35940-T3               </t>
  </si>
  <si>
    <t xml:space="preserve">Mitsubishi Chemical - Sacramento, CA    </t>
  </si>
  <si>
    <t xml:space="preserve">U2022-OP                 </t>
  </si>
  <si>
    <t xml:space="preserve">ME67235                  </t>
  </si>
  <si>
    <t xml:space="preserve">07/17/26 15:30 LOAD           </t>
  </si>
  <si>
    <t xml:space="preserve">Aurorium Netherlands B.V.Geleen NL Main </t>
  </si>
  <si>
    <t xml:space="preserve">X1440H-FD                </t>
  </si>
  <si>
    <t xml:space="preserve">Barentz -  (Sold To) Boca Raton, FL     </t>
  </si>
  <si>
    <t xml:space="preserve">ME67235-T2               </t>
  </si>
  <si>
    <t xml:space="preserve">ME94340-T2               </t>
  </si>
  <si>
    <t xml:space="preserve">Neenah - Lowville, NY                   </t>
  </si>
  <si>
    <t xml:space="preserve">DPI8445-FD               </t>
  </si>
  <si>
    <t xml:space="preserve">Sherwin Williams - Victorville, CA      </t>
  </si>
  <si>
    <t xml:space="preserve">ME62330-FD               </t>
  </si>
  <si>
    <t xml:space="preserve">Michelman Asia-Pac. - Singapore         </t>
  </si>
  <si>
    <t xml:space="preserve">PA845H-OP                </t>
  </si>
  <si>
    <t xml:space="preserve">Customer Routed Shipment                </t>
  </si>
  <si>
    <t xml:space="preserve">EXW CINCINNATI                </t>
  </si>
  <si>
    <t xml:space="preserve">Neenah, Inc.. - Saint Paul, MN          </t>
  </si>
  <si>
    <t xml:space="preserve">DPI8002-FD               </t>
  </si>
  <si>
    <t xml:space="preserve">Greif - Kernsville, NC                  </t>
  </si>
  <si>
    <t xml:space="preserve">X300AF-PL                </t>
  </si>
  <si>
    <t>American Art Clay Co. - Indianapolis, IN</t>
  </si>
  <si>
    <t xml:space="preserve">ML270R-FD                </t>
  </si>
  <si>
    <t xml:space="preserve">Arizlu SA de CV-Mexico                  </t>
  </si>
  <si>
    <t xml:space="preserve">HY430-T2                 </t>
  </si>
  <si>
    <t xml:space="preserve">CPT LAREDO TX                 </t>
  </si>
  <si>
    <t xml:space="preserve">ML124-FD                 </t>
  </si>
  <si>
    <t xml:space="preserve">ML156PFP-FD              </t>
  </si>
  <si>
    <t xml:space="preserve">BASF - Sturtevant, WI (8310)            </t>
  </si>
  <si>
    <t xml:space="preserve">ME24035-BP               </t>
  </si>
  <si>
    <t xml:space="preserve">https://tms.transplace.com    </t>
  </si>
  <si>
    <t xml:space="preserve">Huhtamaki - Franklin, OH                </t>
  </si>
  <si>
    <t xml:space="preserve">GC902H-T3                </t>
  </si>
  <si>
    <t xml:space="preserve">Rush Expediting                         </t>
  </si>
  <si>
    <t xml:space="preserve">DPI8020-FD               </t>
  </si>
  <si>
    <t xml:space="preserve">FEDEX Economy                           </t>
  </si>
  <si>
    <t xml:space="preserve">Smurfit Carton y Papel de Mexico- GPE   </t>
  </si>
  <si>
    <t>SQ</t>
  </si>
  <si>
    <t xml:space="preserve">Sonoco - Tulsa, OK                      </t>
  </si>
  <si>
    <t xml:space="preserve">RCPLUSFG-OP              </t>
  </si>
  <si>
    <t xml:space="preserve">RCPLUSFG-T3              </t>
  </si>
  <si>
    <t xml:space="preserve">DS Smith Southcorr (IP)- Asheboro, NC   </t>
  </si>
  <si>
    <t xml:space="preserve">HY1000AF-FD              </t>
  </si>
  <si>
    <t xml:space="preserve">MC40HAFN-FD              </t>
  </si>
  <si>
    <t xml:space="preserve">X300AF-FD                </t>
  </si>
  <si>
    <t xml:space="preserve">Liberty Paper - Becker, MN              </t>
  </si>
  <si>
    <t xml:space="preserve">RB105-T3                 </t>
  </si>
  <si>
    <t xml:space="preserve">Spartan Chemical - Maumee, OH           </t>
  </si>
  <si>
    <t xml:space="preserve">BLND550GM                </t>
  </si>
  <si>
    <t xml:space="preserve">Total Quality Logistics (bulk)          </t>
  </si>
  <si>
    <t xml:space="preserve">07/20/26 12:30 LOAD           </t>
  </si>
  <si>
    <t xml:space="preserve">Specialty Ctg &amp; Lam - Doswell, VA       </t>
  </si>
  <si>
    <t xml:space="preserve">DF60-PL                  </t>
  </si>
  <si>
    <t xml:space="preserve">UPS                                     </t>
  </si>
  <si>
    <t xml:space="preserve">International Paper - Butler, IN        </t>
  </si>
  <si>
    <t xml:space="preserve">Footprint LLC - Gilbert, AZ (SAMPLES)   </t>
  </si>
  <si>
    <t>EA</t>
  </si>
  <si>
    <t xml:space="preserve">HY8000-PL                </t>
  </si>
  <si>
    <t xml:space="preserve">VAP2200R-PL              </t>
  </si>
  <si>
    <t xml:space="preserve">CLG2100-T3               </t>
  </si>
  <si>
    <t xml:space="preserve">RLC40-FD                 </t>
  </si>
  <si>
    <t>G-P Corrugated(Sterling) West Chester,OH</t>
  </si>
  <si>
    <t xml:space="preserve">VAP2200R-T3              </t>
  </si>
  <si>
    <t xml:space="preserve">Georgia Pacific (Dixie) - Ft Smith, AR  </t>
  </si>
  <si>
    <t xml:space="preserve">PK521-T3                 </t>
  </si>
  <si>
    <t xml:space="preserve">Pratt DIGITAL - Conyers, GA             </t>
  </si>
  <si>
    <t xml:space="preserve">DG520IJ-T2               </t>
  </si>
  <si>
    <t xml:space="preserve">DGIJ523-T2               </t>
  </si>
  <si>
    <t xml:space="preserve">AGY Aiken - Aiken, SC                   </t>
  </si>
  <si>
    <t xml:space="preserve">U501-OP                  </t>
  </si>
  <si>
    <t xml:space="preserve">Johns Manville - Waterville, OH(River)  </t>
  </si>
  <si>
    <t xml:space="preserve">U701-OP                  </t>
  </si>
  <si>
    <t xml:space="preserve">Mike.Winters@JM.com           </t>
  </si>
  <si>
    <t xml:space="preserve">BGF Industries - Altavista, VA          </t>
  </si>
  <si>
    <t xml:space="preserve">MP2960-T2                </t>
  </si>
  <si>
    <t xml:space="preserve">Chase Corp - Lenoir, NC                 </t>
  </si>
  <si>
    <t xml:space="preserve">Sun Coatings LLC- Tampa, FL             </t>
  </si>
  <si>
    <t xml:space="preserve">HY1000AF-T2              </t>
  </si>
  <si>
    <t xml:space="preserve">REAR UNLOAD TANKER PREFERRED  </t>
  </si>
  <si>
    <t xml:space="preserve">Sherwin Williams - Columbus, OH         </t>
  </si>
  <si>
    <t xml:space="preserve">Cartonesa - El Salvador                 </t>
  </si>
  <si>
    <t xml:space="preserve">MC40HHSN-OP              </t>
  </si>
  <si>
    <t xml:space="preserve">FCA Medley FL                 </t>
  </si>
  <si>
    <t>Avery Dennison - Painesville, OH(Auburn)</t>
  </si>
  <si>
    <t xml:space="preserve">ME77030-FD               </t>
  </si>
  <si>
    <t xml:space="preserve">DPV9000-B1               </t>
  </si>
  <si>
    <t xml:space="preserve">Mimir Flexo - Troy, MO                  </t>
  </si>
  <si>
    <t xml:space="preserve">NEWITEMPKG               </t>
  </si>
  <si>
    <t>OC</t>
  </si>
  <si>
    <t xml:space="preserve">211001PX.E-PD            </t>
  </si>
  <si>
    <t xml:space="preserve">Belmark - De Pere, WI                   </t>
  </si>
  <si>
    <t xml:space="preserve">MP4983R-PL               </t>
  </si>
  <si>
    <t xml:space="preserve">Sherwin Williams - Fernley, NV          </t>
  </si>
  <si>
    <t xml:space="preserve">ML511-FD                 </t>
  </si>
  <si>
    <t xml:space="preserve">Solenis - London, Ont., CN              </t>
  </si>
  <si>
    <t xml:space="preserve">Sintermet - Kittanning, PA              </t>
  </si>
  <si>
    <t xml:space="preserve">ML723-FD                 </t>
  </si>
  <si>
    <t xml:space="preserve">Southern States Pkg. - Spartanburg, SC  </t>
  </si>
  <si>
    <t xml:space="preserve">Akzo Nobel Coatings - Roanoke, VA       </t>
  </si>
  <si>
    <t xml:space="preserve">ML160PFP-PL              </t>
  </si>
  <si>
    <t xml:space="preserve">NM70NB-T3                </t>
  </si>
  <si>
    <t xml:space="preserve">RC39AFG-T3               </t>
  </si>
  <si>
    <t xml:space="preserve">McGean - Atlanta, GA                    </t>
  </si>
  <si>
    <t xml:space="preserve">ME44730-FD               </t>
  </si>
  <si>
    <t xml:space="preserve">mcge@jarrettlogistics.com     </t>
  </si>
  <si>
    <t xml:space="preserve">ME89535DE-FD             </t>
  </si>
  <si>
    <t xml:space="preserve">La-Z-Boy-Dayton,TN                      </t>
  </si>
  <si>
    <t xml:space="preserve">ME71450-FD               </t>
  </si>
  <si>
    <t xml:space="preserve">Rustoleum - Pleasant Prairie, WI        </t>
  </si>
  <si>
    <t xml:space="preserve">Receiving Hours: 6AM-6PM M-F  </t>
  </si>
  <si>
    <t xml:space="preserve">FDCRED-QT                </t>
  </si>
  <si>
    <t xml:space="preserve">Van Technologies - Duluth, MN           </t>
  </si>
  <si>
    <t xml:space="preserve">ML160-FD                 </t>
  </si>
  <si>
    <t xml:space="preserve">CustomerService@TDSD.com      </t>
  </si>
  <si>
    <t xml:space="preserve">Penguin Pottery - Wilder, VT            </t>
  </si>
  <si>
    <t xml:space="preserve">FDCBLUE-QT               </t>
  </si>
  <si>
    <t xml:space="preserve">PK265D-PL                </t>
  </si>
  <si>
    <t xml:space="preserve">BRAZIL GR LTDA- Rio Claro, Brazil       </t>
  </si>
  <si>
    <t xml:space="preserve">HL280-KP                 </t>
  </si>
  <si>
    <t xml:space="preserve">EXWORKS CINCINNATI, OH        </t>
  </si>
  <si>
    <t>Behr Process LLC -Santa Ana CA (W Alton)</t>
  </si>
  <si>
    <t xml:space="preserve">MGRD200-T3               </t>
  </si>
  <si>
    <t xml:space="preserve">ME44730-T2               </t>
  </si>
  <si>
    <t xml:space="preserve">Pittsburgh Paints Co. - Louisville, KY  </t>
  </si>
  <si>
    <t xml:space="preserve">ML743-T3                 </t>
  </si>
  <si>
    <t xml:space="preserve">SCHED 48 HR PRIOR             </t>
  </si>
  <si>
    <t>Unique Industries - Louisville, KY(4004)</t>
  </si>
  <si>
    <t xml:space="preserve">26006-FD                 </t>
  </si>
  <si>
    <t xml:space="preserve">07/22/26 15:30 LOAD           </t>
  </si>
  <si>
    <t xml:space="preserve">Tremco - Corsicana, TX                  </t>
  </si>
  <si>
    <t xml:space="preserve">ML723-T3                 </t>
  </si>
  <si>
    <t xml:space="preserve">Chem Trend - Howell, MI (E.GrandRiver)  </t>
  </si>
  <si>
    <t xml:space="preserve">ME48040M2-FD             </t>
  </si>
  <si>
    <t xml:space="preserve">Rational Pkg - Springfield, TN          </t>
  </si>
  <si>
    <t xml:space="preserve">Quantum Materials - Colfax, NC          </t>
  </si>
  <si>
    <t xml:space="preserve">IFS004-PD                </t>
  </si>
  <si>
    <t xml:space="preserve">Benjamin Moore - Pell City, AL          </t>
  </si>
  <si>
    <t xml:space="preserve">ME93235-T3               </t>
  </si>
  <si>
    <t xml:space="preserve">navisphere.chrobinson.com     </t>
  </si>
  <si>
    <t xml:space="preserve">MOTUS US - Greenville, SC               </t>
  </si>
  <si>
    <t xml:space="preserve">ME36840K-PL              </t>
  </si>
  <si>
    <t xml:space="preserve">Midwest Ctgs - (SOLD TO) Fenton,MO      </t>
  </si>
  <si>
    <t xml:space="preserve">PK265AP-T3               </t>
  </si>
  <si>
    <t xml:space="preserve">REC 7AM-3PM (OTHER W/ NOTICE) </t>
  </si>
  <si>
    <t>Lamberti USA, Inc. - East Providence, RI</t>
  </si>
  <si>
    <t xml:space="preserve">Altum LLC - Canal Winchester, OH        </t>
  </si>
  <si>
    <t xml:space="preserve">ME91735-PL               </t>
  </si>
  <si>
    <t xml:space="preserve">Hood Packaging - Sibley, IA             </t>
  </si>
  <si>
    <t xml:space="preserve">CLG2110-T3               </t>
  </si>
  <si>
    <t xml:space="preserve">Fuller HB - Vadnais Hgts, MN(Willow)    </t>
  </si>
  <si>
    <t xml:space="preserve">ME61335-FD               </t>
  </si>
  <si>
    <t xml:space="preserve">COB-ADD ADDR TO DET ATT       </t>
  </si>
  <si>
    <t xml:space="preserve">MI001-ML                 </t>
  </si>
  <si>
    <t xml:space="preserve">FedEx Ground                            </t>
  </si>
  <si>
    <t xml:space="preserve">ClayPeople - Richmond, CA               </t>
  </si>
  <si>
    <t xml:space="preserve">Solenis (Diversey) - Florence, KY       </t>
  </si>
  <si>
    <t xml:space="preserve">227142X-T3               </t>
  </si>
  <si>
    <t xml:space="preserve">Q4310A-B1                </t>
  </si>
  <si>
    <t xml:space="preserve">FedEx Acct: 889877855         </t>
  </si>
  <si>
    <t xml:space="preserve">NM70N2G-OP               </t>
  </si>
  <si>
    <t xml:space="preserve">Amcor Oshkosh,WI(Universal St)          </t>
  </si>
  <si>
    <t xml:space="preserve">ML160-T3                 </t>
  </si>
  <si>
    <t xml:space="preserve">Lift-All Atlanta - Suwanee, GA          </t>
  </si>
  <si>
    <t xml:space="preserve">HL723-OP                 </t>
  </si>
  <si>
    <t xml:space="preserve">RB105-FD                 </t>
  </si>
  <si>
    <t>Altima Interntl(Bill-to)-Coral Gables,FL</t>
  </si>
  <si>
    <t xml:space="preserve">Must have 6m shelf life       </t>
  </si>
  <si>
    <t xml:space="preserve">ME61335-T2               </t>
  </si>
  <si>
    <t xml:space="preserve">ML693-T2                 </t>
  </si>
  <si>
    <t xml:space="preserve">U502-OP                  </t>
  </si>
  <si>
    <t xml:space="preserve">Axalta - High Point, NC(Gate7 English)  </t>
  </si>
  <si>
    <t xml:space="preserve">NEEDS 48 HR NOTICE            </t>
  </si>
  <si>
    <t xml:space="preserve">Monadnock Paper - Bennington, NH        </t>
  </si>
  <si>
    <t xml:space="preserve">DPE3500-T2               </t>
  </si>
  <si>
    <t xml:space="preserve">Sun Coatings - Phoenix, AZ              </t>
  </si>
  <si>
    <t xml:space="preserve">HY1000AF-T3              </t>
  </si>
  <si>
    <t>Celplast Metallized Prod.-Toronto,ON, CA</t>
  </si>
  <si>
    <t xml:space="preserve">MFB5780-FD               </t>
  </si>
  <si>
    <t xml:space="preserve">ML126-FD                 </t>
  </si>
  <si>
    <t xml:space="preserve">Inno Chem - Stowe, PA                   </t>
  </si>
  <si>
    <t xml:space="preserve">ME52137-FD               </t>
  </si>
  <si>
    <t xml:space="preserve">GRAFIX DIGITAL S.A. - BOGOTA            </t>
  </si>
  <si>
    <t xml:space="preserve">DPI8020-PL               </t>
  </si>
  <si>
    <t xml:space="preserve">MCL1188-P1               </t>
  </si>
  <si>
    <t xml:space="preserve">Iimak - Amherst, NY                     </t>
  </si>
  <si>
    <t xml:space="preserve">ML160PFP-FD              </t>
  </si>
  <si>
    <t xml:space="preserve">Duie Pyle                               </t>
  </si>
  <si>
    <t xml:space="preserve">Owens Corning - Amarillo, TX            </t>
  </si>
  <si>
    <t xml:space="preserve">owenscorning@rxo.com          </t>
  </si>
  <si>
    <t xml:space="preserve">Michelman New Material Shanghai Co Ltd  </t>
  </si>
  <si>
    <t xml:space="preserve">PE931M-PL                </t>
  </si>
  <si>
    <t xml:space="preserve">PPG Inds - Brazil, IN                   </t>
  </si>
  <si>
    <t xml:space="preserve">Dart - Chicago, IL (Kostner Ave)        </t>
  </si>
  <si>
    <t xml:space="preserve">PK263-T3                 </t>
  </si>
  <si>
    <t xml:space="preserve">Benjamin Moore - Johnstown, NY          </t>
  </si>
  <si>
    <t>Electric Glass Fiber America- Shelby, NC</t>
  </si>
  <si>
    <t xml:space="preserve">PPGEMA-T3                </t>
  </si>
  <si>
    <t>CX</t>
  </si>
  <si>
    <t xml:space="preserve">RHOB320-T2               </t>
  </si>
  <si>
    <t xml:space="preserve">ME91735-FD               </t>
  </si>
  <si>
    <t>Ahlstrom-Munksjo-Rhinelander,WI(Phillip)</t>
  </si>
  <si>
    <t xml:space="preserve">MP4983R-T2               </t>
  </si>
  <si>
    <t xml:space="preserve">227158X                  </t>
  </si>
  <si>
    <t xml:space="preserve">07/27/26 06:30 LOAD           </t>
  </si>
  <si>
    <t xml:space="preserve">07/27/26 15:30 LOAD           </t>
  </si>
  <si>
    <t>Tecnoglass S.A.S.-Barranquilla, Colombia</t>
  </si>
  <si>
    <t xml:space="preserve">PPGTPO-OP                </t>
  </si>
  <si>
    <t xml:space="preserve">Grafix Digital S.A. - Lima, Peru        </t>
  </si>
  <si>
    <t xml:space="preserve">MCL1188-B1               </t>
  </si>
  <si>
    <t xml:space="preserve">Grafixec S.A. - Quito, Ecuador          </t>
  </si>
  <si>
    <t xml:space="preserve">FCA MIAMI, FL                 </t>
  </si>
  <si>
    <t xml:space="preserve">Chemetall- Jackson, MI                  </t>
  </si>
  <si>
    <t xml:space="preserve">ML124-OP                 </t>
  </si>
  <si>
    <t xml:space="preserve">Pitt Ohio                               </t>
  </si>
  <si>
    <t xml:space="preserve">07/27/26 09:30 LOAD           </t>
  </si>
  <si>
    <t xml:space="preserve">FGLASSX36-KP             </t>
  </si>
  <si>
    <t xml:space="preserve">Willamette Valley - Two Harbors, MN     </t>
  </si>
  <si>
    <t xml:space="preserve">MWC70LV-FD               </t>
  </si>
  <si>
    <t xml:space="preserve">DP060-PL                 </t>
  </si>
  <si>
    <t xml:space="preserve">251194NX-PL              </t>
  </si>
  <si>
    <t xml:space="preserve">DPV9200-PL               </t>
  </si>
  <si>
    <t xml:space="preserve">Corrugados de Baja California - Sonora  </t>
  </si>
  <si>
    <t xml:space="preserve">MT445AF-PL               </t>
  </si>
  <si>
    <t xml:space="preserve">FCA NOGALES, AZ               </t>
  </si>
  <si>
    <t xml:space="preserve">Akzo Nobel Coatings - High Point, NC    </t>
  </si>
  <si>
    <t xml:space="preserve">ML160PFP-T2              </t>
  </si>
  <si>
    <t xml:space="preserve">3PL needs 48hr notice         </t>
  </si>
  <si>
    <t xml:space="preserve">Davies Imperial Ctgs - Hammond, IN      </t>
  </si>
  <si>
    <t xml:space="preserve">ME39235-FD               </t>
  </si>
  <si>
    <t xml:space="preserve">Estes Express                           </t>
  </si>
  <si>
    <t xml:space="preserve">Loparex - Hammond, WI                   </t>
  </si>
  <si>
    <t xml:space="preserve">MP4983R-T3               </t>
  </si>
  <si>
    <t xml:space="preserve">8AM-5PM M-F 715-796-2245      </t>
  </si>
  <si>
    <t xml:space="preserve">Sika - Aurora, IL                       </t>
  </si>
  <si>
    <t xml:space="preserve">ME44730-PL               </t>
  </si>
  <si>
    <t xml:space="preserve">Viscofan USA - Montgomery AL            </t>
  </si>
  <si>
    <t xml:space="preserve">MIWAX11B-FD              </t>
  </si>
  <si>
    <t xml:space="preserve">Sherwin Williams - Cary, IL             </t>
  </si>
  <si>
    <t>Incotec (SOLDTO/BILLTO) - Plainsboro, NJ</t>
  </si>
  <si>
    <t xml:space="preserve">NYS2106-T2               </t>
  </si>
  <si>
    <t xml:space="preserve">Atotech USA - Rock Hill, SC             </t>
  </si>
  <si>
    <t xml:space="preserve">ME93235-OP               </t>
  </si>
  <si>
    <t xml:space="preserve">Premier Ink Systems - Harrison, OH      </t>
  </si>
  <si>
    <t xml:space="preserve">PK265D-T3                </t>
  </si>
  <si>
    <t xml:space="preserve">PP201-OP                 </t>
  </si>
  <si>
    <t xml:space="preserve">3M - Tilton, NH                         </t>
  </si>
  <si>
    <t xml:space="preserve">La-Z-Boy-Newton, MS                     </t>
  </si>
  <si>
    <t xml:space="preserve">ME72650-FD               </t>
  </si>
  <si>
    <t xml:space="preserve">BluJay TMS portal             </t>
  </si>
  <si>
    <t xml:space="preserve">FGLASSX36-T2             </t>
  </si>
  <si>
    <t>FM</t>
  </si>
  <si>
    <t xml:space="preserve">Taghleef - Rosedale, IN                 </t>
  </si>
  <si>
    <t xml:space="preserve">EC4100-OP                </t>
  </si>
  <si>
    <t xml:space="preserve">ME20117-T2               </t>
  </si>
  <si>
    <t xml:space="preserve">Cascades Sonoco - Berthierville, QC, CA </t>
  </si>
  <si>
    <t xml:space="preserve">X1000H-UN                </t>
  </si>
  <si>
    <t xml:space="preserve">X1000H-FD                </t>
  </si>
  <si>
    <t xml:space="preserve">261067PX-T3              </t>
  </si>
  <si>
    <t xml:space="preserve">Red Express                             </t>
  </si>
  <si>
    <t xml:space="preserve">Arclin Surfaces -Tacoma, WA             </t>
  </si>
  <si>
    <t xml:space="preserve">ML182-T3                 </t>
  </si>
  <si>
    <t xml:space="preserve">Dart Container - Leola, PA              </t>
  </si>
  <si>
    <t xml:space="preserve">251409PX-FD              </t>
  </si>
  <si>
    <t xml:space="preserve">NYS2101-T2               </t>
  </si>
  <si>
    <t xml:space="preserve">ME98740-FD               </t>
  </si>
  <si>
    <t xml:space="preserve">Averitt Express Inc                     </t>
  </si>
  <si>
    <t xml:space="preserve">Minwax Company - Flora, IL              </t>
  </si>
  <si>
    <t xml:space="preserve">ML511-OP                 </t>
  </si>
  <si>
    <t xml:space="preserve">Smurfit Carton y Papel de Mexico- GTO   </t>
  </si>
  <si>
    <t xml:space="preserve">NM70TNFR-OP              </t>
  </si>
  <si>
    <t xml:space="preserve">PH00101E-OP              </t>
  </si>
  <si>
    <t xml:space="preserve">paul@fergusonfreight.com      </t>
  </si>
  <si>
    <t xml:space="preserve">DF201-JG                 </t>
  </si>
  <si>
    <t xml:space="preserve">DPI8001-FD               </t>
  </si>
  <si>
    <t xml:space="preserve">DPI8500-FD               </t>
  </si>
  <si>
    <t xml:space="preserve">Pittsburgh Paints Co. - Huron OH        </t>
  </si>
  <si>
    <t xml:space="preserve">ML511-T3                 </t>
  </si>
  <si>
    <t xml:space="preserve">Sherwin Williams - Richmond, KY         </t>
  </si>
  <si>
    <t xml:space="preserve">MS20LV-FD                </t>
  </si>
  <si>
    <t xml:space="preserve">CTMG@Sherwin.com              </t>
  </si>
  <si>
    <t xml:space="preserve">GFC - Granite Falls, NC                 </t>
  </si>
  <si>
    <t xml:space="preserve">ME05940-T2               </t>
  </si>
  <si>
    <t xml:space="preserve">Axel  Plastics - Monroe, CT             </t>
  </si>
  <si>
    <t xml:space="preserve">MP34040-FD               </t>
  </si>
  <si>
    <t xml:space="preserve">Amcor - Oshkosh, WI (N Main)            </t>
  </si>
  <si>
    <t xml:space="preserve">MP4983R                  </t>
  </si>
  <si>
    <t xml:space="preserve">CH Robinson (Bulk)                      </t>
  </si>
  <si>
    <t xml:space="preserve">08/05/26 06:30 LOAD           </t>
  </si>
  <si>
    <t xml:space="preserve">MacDermid - Ferndale, MI                </t>
  </si>
  <si>
    <t xml:space="preserve">PH00017E-T2              </t>
  </si>
  <si>
    <t xml:space="preserve">Univar - Henkel, Warren, MI             </t>
  </si>
  <si>
    <t xml:space="preserve">MGRD4223-FD              </t>
  </si>
  <si>
    <t xml:space="preserve">PO 4579262639                 </t>
  </si>
  <si>
    <t xml:space="preserve">Arclad S.A. - Colombia                  </t>
  </si>
  <si>
    <t xml:space="preserve">MFR1924A-KP              </t>
  </si>
  <si>
    <t xml:space="preserve">EXW CINCINNATI OH             </t>
  </si>
  <si>
    <t xml:space="preserve">MP498345N-OP             </t>
  </si>
  <si>
    <t xml:space="preserve">labelsandpackaging@sone.com   </t>
  </si>
  <si>
    <t xml:space="preserve">DO NOT USE TRANSPLACE         </t>
  </si>
  <si>
    <t xml:space="preserve">E14-SS                   </t>
  </si>
  <si>
    <t xml:space="preserve">Saint Gobain - Albion, NY (East Avenue) </t>
  </si>
  <si>
    <t xml:space="preserve">MP498340D                </t>
  </si>
  <si>
    <t xml:space="preserve">08/07/26 06:30 LOAD           </t>
  </si>
  <si>
    <t xml:space="preserve">ChemRite CoPac - Lannon, WI             </t>
  </si>
  <si>
    <t xml:space="preserve">MD91530-FD               </t>
  </si>
  <si>
    <t xml:space="preserve">Tekni-plex - Madison, WI                </t>
  </si>
  <si>
    <t xml:space="preserve">MP04422R-FD              </t>
  </si>
  <si>
    <t xml:space="preserve">American Packaging - Rochester, NY      </t>
  </si>
  <si>
    <t xml:space="preserve">MFP2312-FD               </t>
  </si>
  <si>
    <t xml:space="preserve">Oliver-Tolas Health - Feasterville, PA  </t>
  </si>
  <si>
    <t xml:space="preserve">RM108-T3                 </t>
  </si>
  <si>
    <t xml:space="preserve">No Appointment needed         </t>
  </si>
  <si>
    <t xml:space="preserve">OCV Mexico  (Tetla plant)               </t>
  </si>
  <si>
    <t xml:space="preserve">BPI Packaging - Memphis, TN             </t>
  </si>
  <si>
    <t xml:space="preserve">ME24414-T2               </t>
  </si>
  <si>
    <t xml:space="preserve">ME94240-FD               </t>
  </si>
  <si>
    <t xml:space="preserve">08/11/26 06:30 LOAD           </t>
  </si>
  <si>
    <t xml:space="preserve">Pure Fishing - Spirit Lake, IA          </t>
  </si>
  <si>
    <t xml:space="preserve">HL137-PL                 </t>
  </si>
  <si>
    <t xml:space="preserve">Inteplast/STA - Rogersville, TN         </t>
  </si>
  <si>
    <t xml:space="preserve">Milliken (920) - Spartanburg, SC        </t>
  </si>
  <si>
    <t xml:space="preserve">Atotech Canada - Burlington, ON, CA     </t>
  </si>
  <si>
    <t xml:space="preserve">ME93235-PD               </t>
  </si>
  <si>
    <t xml:space="preserve">Ship on 48 x 48 pallets       </t>
  </si>
  <si>
    <t xml:space="preserve">ME52137                  </t>
  </si>
  <si>
    <t xml:space="preserve">08/13/26 06:30 LOAD           </t>
  </si>
  <si>
    <t xml:space="preserve">MGRD7140-FD              </t>
  </si>
  <si>
    <t xml:space="preserve">Auto Adesivos (Beontag)-Brazil          </t>
  </si>
  <si>
    <t xml:space="preserve">JPUV120-FD               </t>
  </si>
  <si>
    <t xml:space="preserve">Axalta - Fridley, MN                    </t>
  </si>
  <si>
    <t xml:space="preserve">CIF Tokyo                     </t>
  </si>
  <si>
    <t xml:space="preserve">Sherwin Williams - Lebanon, PA          </t>
  </si>
  <si>
    <t xml:space="preserve">ML693-FD                 </t>
  </si>
  <si>
    <t xml:space="preserve">Henkel - Delaware, OH                   </t>
  </si>
  <si>
    <t xml:space="preserve">MP498340R-T3             </t>
  </si>
  <si>
    <t xml:space="preserve">Advanced Polymer Inc. - Carlstadt., NJ  </t>
  </si>
  <si>
    <t xml:space="preserve">ME70350A-PD              </t>
  </si>
  <si>
    <t xml:space="preserve">FLORENCE TO PROVIDE QTE#      </t>
  </si>
  <si>
    <t>American Thermal, LLC (ATI)- Moraine, OH</t>
  </si>
  <si>
    <t xml:space="preserve">DTOX1-PL                 </t>
  </si>
  <si>
    <t xml:space="preserve">Fiber Line - Hatfield, PA               </t>
  </si>
  <si>
    <t xml:space="preserve">ME46940-FD               </t>
  </si>
  <si>
    <t xml:space="preserve">ship@shipogre.com             </t>
  </si>
  <si>
    <t xml:space="preserve">Fedrigoni / RITRAMA .-Valparaiso,Chile  </t>
  </si>
  <si>
    <t xml:space="preserve">DPI8000-FD               </t>
  </si>
  <si>
    <t xml:space="preserve">MP48525R-FD              </t>
  </si>
  <si>
    <t xml:space="preserve">Teijin Carbon America - Rockwood, TN    </t>
  </si>
  <si>
    <t xml:space="preserve">EXWORKS CINCINNATI OH         </t>
  </si>
  <si>
    <t xml:space="preserve">HP1632-T2                </t>
  </si>
  <si>
    <t xml:space="preserve">Sherwin Williams - Matteson, IL         </t>
  </si>
  <si>
    <t xml:space="preserve">Solenis (Diversey) - Sao Paulo, Brazil  </t>
  </si>
  <si>
    <t xml:space="preserve">MD91530-KD               </t>
  </si>
  <si>
    <t xml:space="preserve">FORWARDER TO SEND 3BOL / CPU  </t>
  </si>
  <si>
    <t xml:space="preserve">EXWORKS CINCINNATI            </t>
  </si>
  <si>
    <t xml:space="preserve">KHI771-FD                </t>
  </si>
  <si>
    <t xml:space="preserve">NEED 06:30 LOAD               </t>
  </si>
  <si>
    <t xml:space="preserve">Valspar - Brazil                        </t>
  </si>
  <si>
    <t xml:space="preserve">ML156-KD                 </t>
  </si>
  <si>
    <t xml:space="preserve">FORWARDER TO SEND 3BOL        </t>
  </si>
  <si>
    <t xml:space="preserve">EXWORKS, CINCINNATI           </t>
  </si>
  <si>
    <t xml:space="preserve">Syensqo (Sold-To) - Princeton, NJ       </t>
  </si>
  <si>
    <t>BG</t>
  </si>
  <si>
    <t xml:space="preserve">MIWAX437-SS              </t>
  </si>
  <si>
    <t xml:space="preserve">CTG102-FD                </t>
  </si>
  <si>
    <t xml:space="preserve">ME20117-PD               </t>
  </si>
  <si>
    <t xml:space="preserve">Capital Adhesives - Mooresville, IN     </t>
  </si>
  <si>
    <t xml:space="preserve">ME41740-T2               </t>
  </si>
  <si>
    <t xml:space="preserve">UN450-FD                 </t>
  </si>
  <si>
    <t xml:space="preserve">Stahl de Mexico - Mexico, MX            </t>
  </si>
  <si>
    <t xml:space="preserve">ME67335-T3               </t>
  </si>
  <si>
    <t xml:space="preserve">EXWORKS Cincinnati            </t>
  </si>
  <si>
    <t xml:space="preserve">Clemons Concrete - Nashville, TN        </t>
  </si>
  <si>
    <t xml:space="preserve">Avient Protective Mat.- Greenville, NC  </t>
  </si>
  <si>
    <t xml:space="preserve">Graphicsource-Quito, Ecuador            </t>
  </si>
  <si>
    <t xml:space="preserve">FCA MIAMI FL                  </t>
  </si>
  <si>
    <t>JG</t>
  </si>
  <si>
    <t xml:space="preserve">DG920.E-JG               </t>
  </si>
  <si>
    <t xml:space="preserve">U204-OP                  </t>
  </si>
  <si>
    <t>Monarch Color - Charlotte, NC(Brookshire</t>
  </si>
  <si>
    <t xml:space="preserve">MDU20-T2                 </t>
  </si>
  <si>
    <t xml:space="preserve">LIQLUB405-FD             </t>
  </si>
  <si>
    <t xml:space="preserve">LIQLUB454-FD             </t>
  </si>
  <si>
    <t xml:space="preserve">CH Robinson (LTL) - Pitt                </t>
  </si>
  <si>
    <t xml:space="preserve">ME91735-KP               </t>
  </si>
  <si>
    <t xml:space="preserve">Monsanto Grain - Villagran Mexico       </t>
  </si>
  <si>
    <t xml:space="preserve">ML160P-KP                </t>
  </si>
  <si>
    <t xml:space="preserve">CPT Laredo, TX                </t>
  </si>
  <si>
    <t xml:space="preserve">Bioplast S.A.C - Peru                   </t>
  </si>
  <si>
    <t xml:space="preserve">MFB3530-PL               </t>
  </si>
  <si>
    <t xml:space="preserve">Sayer Lack - MX (Laredo Warehouse)      </t>
  </si>
  <si>
    <t xml:space="preserve">ME39235-KP               </t>
  </si>
  <si>
    <t xml:space="preserve">Chenchem, Taiwan                        </t>
  </si>
  <si>
    <t xml:space="preserve">U802-PL                  </t>
  </si>
  <si>
    <t xml:space="preserve">DHL                                     </t>
  </si>
  <si>
    <t xml:space="preserve">CIF KEELUNG                   </t>
  </si>
  <si>
    <t xml:space="preserve">LIQLUB448-FD             </t>
  </si>
  <si>
    <t xml:space="preserve">OPP FILM S.A.  - Lima, Peru             </t>
  </si>
  <si>
    <t xml:space="preserve">MFB3530.E-PD             </t>
  </si>
  <si>
    <t>C1</t>
  </si>
  <si>
    <t xml:space="preserve">PP286-T2                 </t>
  </si>
  <si>
    <t xml:space="preserve">LIQLUB504-FD             </t>
  </si>
  <si>
    <t xml:space="preserve">Ashaway Line &amp; Twine - Ashaway, RI      </t>
  </si>
  <si>
    <t xml:space="preserve">HP1632-OP                </t>
  </si>
  <si>
    <t xml:space="preserve">Xactiv - Fairport, NY                   </t>
  </si>
  <si>
    <t xml:space="preserve">HP1632-PL                </t>
  </si>
  <si>
    <t xml:space="preserve">Zoltek - St. Charles, MO                </t>
  </si>
  <si>
    <t xml:space="preserve">ME94340-KD               </t>
  </si>
  <si>
    <t xml:space="preserve">Deench Corp - Tainan, Taiwan            </t>
  </si>
  <si>
    <t xml:space="preserve">ME03230-KP               </t>
  </si>
  <si>
    <t>S-One/ Sarasota,FL(CORP OFFICE)</t>
  </si>
  <si>
    <t>CIN2</t>
  </si>
  <si>
    <t>DP050-PL</t>
  </si>
  <si>
    <t>Customer Pick-up</t>
  </si>
  <si>
    <t>DP680-B1</t>
  </si>
  <si>
    <t>Barentz - (Sold To)Coatings&amp;Adhesi ONLY</t>
  </si>
  <si>
    <t>J1751-T2</t>
  </si>
  <si>
    <t>no longer transplace</t>
  </si>
  <si>
    <t>DOW - (TOLL-BILL/SOLD)Dallas,TX</t>
  </si>
  <si>
    <t>CINC</t>
  </si>
  <si>
    <t>HYPOD8510</t>
  </si>
  <si>
    <t>N/A</t>
  </si>
  <si>
    <t>FMS Enterprises - Lincolnton, NC</t>
  </si>
  <si>
    <t>MFHS268-OP</t>
  </si>
  <si>
    <t>CH Robinson (T/L)</t>
  </si>
  <si>
    <t>Lubrizol - Painesville, OH</t>
  </si>
  <si>
    <t>LIQLUB405-T2</t>
  </si>
  <si>
    <t>Michelman Int'l - Belgium SRL</t>
  </si>
  <si>
    <t>E43-SS</t>
  </si>
  <si>
    <t>3PL</t>
  </si>
  <si>
    <t>DAP AUBANGE</t>
  </si>
  <si>
    <t>Graphic Pkg - Portland, OR</t>
  </si>
  <si>
    <t>CLG2103-T3</t>
  </si>
  <si>
    <t>ML156-T3</t>
  </si>
  <si>
    <t>Willamette Valley - Lithonia GA</t>
  </si>
  <si>
    <t>ML693-T3</t>
  </si>
  <si>
    <t>CH Robinson (LTL)</t>
  </si>
  <si>
    <t>Axalta - Cornwall, ON, CA</t>
  </si>
  <si>
    <t>ME93235-FD</t>
  </si>
  <si>
    <t>R &amp; L Carriers</t>
  </si>
  <si>
    <t>Alliance Designer - Laval Quebec</t>
  </si>
  <si>
    <t>NSHLD30-FD</t>
  </si>
  <si>
    <t>PPG Inds. - Euclid, OH</t>
  </si>
  <si>
    <t>ME39815-T2</t>
  </si>
  <si>
    <t>Gemini Ctgs - El Reno, OK</t>
  </si>
  <si>
    <t>MIWAX127</t>
  </si>
  <si>
    <t>FEDEX Priority</t>
  </si>
  <si>
    <t>Sun Digital S.A. de C.V.-México</t>
  </si>
  <si>
    <t>DP050-P2</t>
  </si>
  <si>
    <t>FCA LAREDO, TX</t>
  </si>
  <si>
    <t>DP680-P1</t>
  </si>
  <si>
    <t>DPV9000-P1</t>
  </si>
  <si>
    <t>ME24414-PD</t>
  </si>
  <si>
    <t>Wausau Coated - Wausau, WI</t>
  </si>
  <si>
    <t>DPI8600-FD</t>
  </si>
  <si>
    <t>Dayton Freight Lines</t>
  </si>
  <si>
    <t>BLANKET WRAP / FREEZE PROTECT</t>
  </si>
  <si>
    <t>Sherwin Williams - Morrow, GA</t>
  </si>
  <si>
    <t>ME62330-T3</t>
  </si>
  <si>
    <t>Sonoco Oper San Luis - Laredo,TX</t>
  </si>
  <si>
    <t>RCPLUSFR-OP</t>
  </si>
  <si>
    <t>DAP Laredo TX</t>
  </si>
  <si>
    <t>Solenis - Int'l Paper, Mansfield, LA</t>
  </si>
  <si>
    <t>SDP500</t>
  </si>
  <si>
    <t>07/16/26 06:30 LOAD</t>
  </si>
  <si>
    <t>KHI Coatings - Oxford, MI</t>
  </si>
  <si>
    <t>KHI205-FD</t>
  </si>
  <si>
    <t>SEE B/L NOTES</t>
  </si>
  <si>
    <t>KHI340-FD</t>
  </si>
  <si>
    <t>Marmon - Seymour, CT</t>
  </si>
  <si>
    <t>ME94340-PL</t>
  </si>
  <si>
    <t>Sonoco - Tiffin, OH</t>
  </si>
  <si>
    <t>RC39AFG-OP</t>
  </si>
  <si>
    <t>CorrChoice/PCA, MassillonOH</t>
  </si>
  <si>
    <t>NM73-T3</t>
  </si>
  <si>
    <t>DO NOT SEND -FD'S</t>
  </si>
  <si>
    <t>VAPCT501S-T3</t>
  </si>
  <si>
    <t>X300AF-T3</t>
  </si>
  <si>
    <t>PRX20097-SS</t>
  </si>
  <si>
    <t>Torch Surface Tech - Whitmore Lake, MI</t>
  </si>
  <si>
    <t>MP4983R-FD</t>
  </si>
  <si>
    <t>Clariant (Sold-to) - Charlotte, NC</t>
  </si>
  <si>
    <t>LC410TP-T2</t>
  </si>
  <si>
    <t>Taghleef Industries - Quebec, CA</t>
  </si>
  <si>
    <t>ML160RPH-FD</t>
  </si>
  <si>
    <t>XPO Logistics</t>
  </si>
  <si>
    <t>Rustoleum - Lesage WV</t>
  </si>
  <si>
    <t>ME35940-T3</t>
  </si>
  <si>
    <t>Mitsubishi Chemical - Sacramento, CA</t>
  </si>
  <si>
    <t>U2022-OP</t>
  </si>
  <si>
    <t>ME67235</t>
  </si>
  <si>
    <t>07/17/26 15:30 LOAD</t>
  </si>
  <si>
    <t>Aurorium Netherlands B.V.Geleen NL Main</t>
  </si>
  <si>
    <t>X1440H-FD</t>
  </si>
  <si>
    <t>Barentz -  (Sold To) Boca Raton, FL</t>
  </si>
  <si>
    <t>ME67235-T2</t>
  </si>
  <si>
    <t>ME94340-T2</t>
  </si>
  <si>
    <t>Neenah - Lowville, NY</t>
  </si>
  <si>
    <t>DPI8445-FD</t>
  </si>
  <si>
    <t>Sherwin Williams - Victorville, CA</t>
  </si>
  <si>
    <t>ME62330-FD</t>
  </si>
  <si>
    <t>Michelman Asia-Pac. - Singapore</t>
  </si>
  <si>
    <t>PA845H-OP</t>
  </si>
  <si>
    <t>Customer Routed Shipment</t>
  </si>
  <si>
    <t>EXW CINCINNATI</t>
  </si>
  <si>
    <t>Neenah, Inc.. - Saint Paul, MN</t>
  </si>
  <si>
    <t>DPI8002-FD</t>
  </si>
  <si>
    <t>Greif - Kernsville, NC</t>
  </si>
  <si>
    <t>X300AF-PL</t>
  </si>
  <si>
    <t>ML270R-FD</t>
  </si>
  <si>
    <t>Arizlu SA de CV-Mexico</t>
  </si>
  <si>
    <t>HY430-T2</t>
  </si>
  <si>
    <t>CPT LAREDO TX</t>
  </si>
  <si>
    <t>ML124-FD</t>
  </si>
  <si>
    <t>ML156PFP-FD</t>
  </si>
  <si>
    <t>BASF - Sturtevant, WI (8310)</t>
  </si>
  <si>
    <t>ME24035-BP</t>
  </si>
  <si>
    <t>https://tms.transplace.com</t>
  </si>
  <si>
    <t>Huhtamaki - Franklin, OH</t>
  </si>
  <si>
    <t>GC902H-T3</t>
  </si>
  <si>
    <t>Rush Expediting</t>
  </si>
  <si>
    <t>DPI8020-FD</t>
  </si>
  <si>
    <t>FEDEX Economy</t>
  </si>
  <si>
    <t>Smurfit Carton y Papel de Mexico- GPE</t>
  </si>
  <si>
    <t>Sonoco - Tulsa, OK</t>
  </si>
  <si>
    <t>RCPLUSFG-OP</t>
  </si>
  <si>
    <t>RCPLUSFG-T3</t>
  </si>
  <si>
    <t>DS Smith Southcorr (IP)- Asheboro, NC</t>
  </si>
  <si>
    <t>HY1000AF-FD</t>
  </si>
  <si>
    <t>MC40HAFN-FD</t>
  </si>
  <si>
    <t>X300AF-FD</t>
  </si>
  <si>
    <t>Liberty Paper - Becker, MN</t>
  </si>
  <si>
    <t>RB105-T3</t>
  </si>
  <si>
    <t>Spartan Chemical - Maumee, OH</t>
  </si>
  <si>
    <t>BLND550GM</t>
  </si>
  <si>
    <t>Total Quality Logistics (bulk)</t>
  </si>
  <si>
    <t>07/20/26 12:30 LOAD</t>
  </si>
  <si>
    <t>Specialty Ctg &amp; Lam - Doswell, VA</t>
  </si>
  <si>
    <t>DF60-PL</t>
  </si>
  <si>
    <t>UPS</t>
  </si>
  <si>
    <t>International Paper - Butler, IN</t>
  </si>
  <si>
    <t>Footprint LLC - Gilbert, AZ (SAMPLES)</t>
  </si>
  <si>
    <t>HY8000-PL</t>
  </si>
  <si>
    <t>VAP2200R-PL</t>
  </si>
  <si>
    <t>CLG2100-T3</t>
  </si>
  <si>
    <t>RLC40-FD</t>
  </si>
  <si>
    <t>VAP2200R-T3</t>
  </si>
  <si>
    <t>Georgia Pacific (Dixie) - Ft Smith, AR</t>
  </si>
  <si>
    <t>PK521-T3</t>
  </si>
  <si>
    <t>Pratt DIGITAL - Conyers, GA</t>
  </si>
  <si>
    <t>DG520IJ-T2</t>
  </si>
  <si>
    <t>DGIJ523-T2</t>
  </si>
  <si>
    <t>AGY Aiken - Aiken, SC</t>
  </si>
  <si>
    <t>U501-OP</t>
  </si>
  <si>
    <t>Johns Manville - Waterville, OH(River)</t>
  </si>
  <si>
    <t>U701-OP</t>
  </si>
  <si>
    <t>Mike.Winters@JM.com</t>
  </si>
  <si>
    <t>BGF Industries - Altavista, VA</t>
  </si>
  <si>
    <t>MP2960-T2</t>
  </si>
  <si>
    <t>Chase Corp - Lenoir, NC</t>
  </si>
  <si>
    <t>Sun Coatings LLC- Tampa, FL</t>
  </si>
  <si>
    <t>HY1000AF-T2</t>
  </si>
  <si>
    <t>REAR UNLOAD TANKER PREFERRED</t>
  </si>
  <si>
    <t>Sherwin Williams - Columbus, OH</t>
  </si>
  <si>
    <t>Cartonesa - El Salvador</t>
  </si>
  <si>
    <t>MC40HHSN-OP</t>
  </si>
  <si>
    <t>FCA Medley FL</t>
  </si>
  <si>
    <t>ME77030-FD</t>
  </si>
  <si>
    <t>DPV9000-B1</t>
  </si>
  <si>
    <t>Mimir Flexo - Troy, MO</t>
  </si>
  <si>
    <t>NEWITEMPKG</t>
  </si>
  <si>
    <t>211001PX.E-PD</t>
  </si>
  <si>
    <t>Belmark - De Pere, WI</t>
  </si>
  <si>
    <t>MP4983R-PL</t>
  </si>
  <si>
    <t>Sherwin Williams - Fernley, NV</t>
  </si>
  <si>
    <t>ML511-FD</t>
  </si>
  <si>
    <t>Solenis - London, Ont., CN</t>
  </si>
  <si>
    <t>Sintermet - Kittanning, PA</t>
  </si>
  <si>
    <t>ML723-FD</t>
  </si>
  <si>
    <t>Southern States Pkg. - Spartanburg, SC</t>
  </si>
  <si>
    <t>Akzo Nobel Coatings - Roanoke, VA</t>
  </si>
  <si>
    <t>ML160PFP-PL</t>
  </si>
  <si>
    <t>NM70NB-T3</t>
  </si>
  <si>
    <t>RC39AFG-T3</t>
  </si>
  <si>
    <t>McGean - Atlanta, GA</t>
  </si>
  <si>
    <t>ME44730-FD</t>
  </si>
  <si>
    <t>mcge@jarrettlogistics.com</t>
  </si>
  <si>
    <t>ME89535DE-FD</t>
  </si>
  <si>
    <t>La-Z-Boy-Dayton,TN</t>
  </si>
  <si>
    <t>ME71450-FD</t>
  </si>
  <si>
    <t>Rustoleum - Pleasant Prairie, WI</t>
  </si>
  <si>
    <t>Receiving Hours: 6AM-6PM M-F</t>
  </si>
  <si>
    <t>FDCRED-QT</t>
  </si>
  <si>
    <t>Van Technologies - Duluth, MN</t>
  </si>
  <si>
    <t>ML160-FD</t>
  </si>
  <si>
    <t>CustomerService@TDSD.com</t>
  </si>
  <si>
    <t>Penguin Pottery - Wilder, VT</t>
  </si>
  <si>
    <t>FDCBLUE-QT</t>
  </si>
  <si>
    <t>PK265D-PL</t>
  </si>
  <si>
    <t>BRAZIL GR LTDA- Rio Claro, Brazil</t>
  </si>
  <si>
    <t>HL280-KP</t>
  </si>
  <si>
    <t>EXWORKS CINCINNATI, OH</t>
  </si>
  <si>
    <t>MGRD200-T3</t>
  </si>
  <si>
    <t>ME44730-T2</t>
  </si>
  <si>
    <t>Pittsburgh Paints Co. - Louisville, KY</t>
  </si>
  <si>
    <t>ML743-T3</t>
  </si>
  <si>
    <t>SCHED 48 HR PRIOR</t>
  </si>
  <si>
    <t>26006-FD</t>
  </si>
  <si>
    <t>07/22/26 15:30 LOAD</t>
  </si>
  <si>
    <t>Tremco - Corsicana, TX</t>
  </si>
  <si>
    <t>ML723-T3</t>
  </si>
  <si>
    <t>Chem Trend - Howell, MI (E.GrandRiver)</t>
  </si>
  <si>
    <t>ME48040M2-FD</t>
  </si>
  <si>
    <t>Rational Pkg - Springfield, TN</t>
  </si>
  <si>
    <t>Quantum Materials - Colfax, NC</t>
  </si>
  <si>
    <t>IFS004-PD</t>
  </si>
  <si>
    <t>Benjamin Moore - Pell City, AL</t>
  </si>
  <si>
    <t>ME93235-T3</t>
  </si>
  <si>
    <t>navisphere.chrobinson.com</t>
  </si>
  <si>
    <t>MOTUS US - Greenville, SC</t>
  </si>
  <si>
    <t>ME36840K-PL</t>
  </si>
  <si>
    <t>Midwest Ctgs - (SOLD TO) Fenton,MO</t>
  </si>
  <si>
    <t>PK265AP-T3</t>
  </si>
  <si>
    <t>REC 7AM-3PM (OTHER W/ NOTICE)</t>
  </si>
  <si>
    <t>Altum LLC - Canal Winchester, OH</t>
  </si>
  <si>
    <t>ME91735-PL</t>
  </si>
  <si>
    <t>Hood Packaging - Sibley, IA</t>
  </si>
  <si>
    <t>CLG2110-T3</t>
  </si>
  <si>
    <t>Fuller HB - Vadnais Hgts, MN(Willow)</t>
  </si>
  <si>
    <t>ME61335-FD</t>
  </si>
  <si>
    <t>COB-ADD ADDR TO DET ATT</t>
  </si>
  <si>
    <t>MI001-ML</t>
  </si>
  <si>
    <t>FedEx Ground</t>
  </si>
  <si>
    <t>ClayPeople - Richmond, CA</t>
  </si>
  <si>
    <t>Solenis (Diversey) - Florence, KY</t>
  </si>
  <si>
    <t>227142X-T3</t>
  </si>
  <si>
    <t>Q4310A-B1</t>
  </si>
  <si>
    <t>FedEx Acct: 889877855</t>
  </si>
  <si>
    <t>NM70N2G-OP</t>
  </si>
  <si>
    <t>Amcor Oshkosh,WI(Universal St)</t>
  </si>
  <si>
    <t>ML160-T3</t>
  </si>
  <si>
    <t>Lift-All Atlanta - Suwanee, GA</t>
  </si>
  <si>
    <t>HL723-OP</t>
  </si>
  <si>
    <t>RB105-FD</t>
  </si>
  <si>
    <t>Must have 6m shelf life</t>
  </si>
  <si>
    <t>ME61335-T2</t>
  </si>
  <si>
    <t>ML693-T2</t>
  </si>
  <si>
    <t>U502-OP</t>
  </si>
  <si>
    <t>Axalta - High Point, NC(Gate7 English)</t>
  </si>
  <si>
    <t>NEEDS 48 HR NOTICE</t>
  </si>
  <si>
    <t>Monadnock Paper - Bennington, NH</t>
  </si>
  <si>
    <t>DPE3500-T2</t>
  </si>
  <si>
    <t>Sun Coatings - Phoenix, AZ</t>
  </si>
  <si>
    <t>HY1000AF-T3</t>
  </si>
  <si>
    <t>MFB5780-FD</t>
  </si>
  <si>
    <t>ML126-FD</t>
  </si>
  <si>
    <t>Inno Chem - Stowe, PA</t>
  </si>
  <si>
    <t>ME52137-FD</t>
  </si>
  <si>
    <t>GRAFIX DIGITAL S.A. - BOGOTA</t>
  </si>
  <si>
    <t>DPI8020-PL</t>
  </si>
  <si>
    <t>MCL1188-P1</t>
  </si>
  <si>
    <t>Iimak - Amherst, NY</t>
  </si>
  <si>
    <t>ML160PFP-FD</t>
  </si>
  <si>
    <t>Duie Pyle</t>
  </si>
  <si>
    <t>Owens Corning - Amarillo, TX</t>
  </si>
  <si>
    <t>owenscorning@rxo.com</t>
  </si>
  <si>
    <t>Michelman New Material Shanghai Co Ltd</t>
  </si>
  <si>
    <t>PE931M-PL</t>
  </si>
  <si>
    <t>PPG Inds - Brazil, IN</t>
  </si>
  <si>
    <t>Dart - Chicago, IL (Kostner Ave)</t>
  </si>
  <si>
    <t>PK263-T3</t>
  </si>
  <si>
    <t>Benjamin Moore - Johnstown, NY</t>
  </si>
  <si>
    <t>PPGEMA-T3</t>
  </si>
  <si>
    <t>RHOB320-T2</t>
  </si>
  <si>
    <t>ME91735-FD</t>
  </si>
  <si>
    <t>MP4983R-T2</t>
  </si>
  <si>
    <t>227158X</t>
  </si>
  <si>
    <t>07/27/26 06:30 LOAD</t>
  </si>
  <si>
    <t>07/27/26 15:30 LOAD</t>
  </si>
  <si>
    <t>PPGTPO-OP</t>
  </si>
  <si>
    <t>Grafix Digital S.A. - Lima, Peru</t>
  </si>
  <si>
    <t>MCL1188-B1</t>
  </si>
  <si>
    <t>Grafixec S.A. - Quito, Ecuador</t>
  </si>
  <si>
    <t>FCA MIAMI, FL</t>
  </si>
  <si>
    <t>Chemetall- Jackson, MI</t>
  </si>
  <si>
    <t>ML124-OP</t>
  </si>
  <si>
    <t>Pitt Ohio</t>
  </si>
  <si>
    <t>07/27/26 09:30 LOAD</t>
  </si>
  <si>
    <t>FGLASSX36-KP</t>
  </si>
  <si>
    <t>Willamette Valley - Two Harbors, MN</t>
  </si>
  <si>
    <t>MWC70LV-FD</t>
  </si>
  <si>
    <t>DP060-PL</t>
  </si>
  <si>
    <t>251194NX-PL</t>
  </si>
  <si>
    <t>DPV9200-PL</t>
  </si>
  <si>
    <t>Corrugados de Baja California - Sonora</t>
  </si>
  <si>
    <t>MT445AF-PL</t>
  </si>
  <si>
    <t>FCA NOGALES, AZ</t>
  </si>
  <si>
    <t>Akzo Nobel Coatings - High Point, NC</t>
  </si>
  <si>
    <t>ML160PFP-T2</t>
  </si>
  <si>
    <t>3PL needs 48hr notice</t>
  </si>
  <si>
    <t>Davies Imperial Ctgs - Hammond, IN</t>
  </si>
  <si>
    <t>ME39235-FD</t>
  </si>
  <si>
    <t>Estes Express</t>
  </si>
  <si>
    <t>Loparex - Hammond, WI</t>
  </si>
  <si>
    <t>MP4983R-T3</t>
  </si>
  <si>
    <t>8AM-5PM M-F 715-796-2245</t>
  </si>
  <si>
    <t>Sika - Aurora, IL</t>
  </si>
  <si>
    <t>ME44730-PL</t>
  </si>
  <si>
    <t>Viscofan USA - Montgomery AL</t>
  </si>
  <si>
    <t>MIWAX11B-FD</t>
  </si>
  <si>
    <t>Sherwin Williams - Cary, IL</t>
  </si>
  <si>
    <t>NYS2106-T2</t>
  </si>
  <si>
    <t>Atotech USA - Rock Hill, SC</t>
  </si>
  <si>
    <t>ME93235-OP</t>
  </si>
  <si>
    <t>Premier Ink Systems - Harrison, OH</t>
  </si>
  <si>
    <t>PK265D-T3</t>
  </si>
  <si>
    <t>PP201-OP</t>
  </si>
  <si>
    <t>3M - Tilton, NH</t>
  </si>
  <si>
    <t>La-Z-Boy-Newton, MS</t>
  </si>
  <si>
    <t>ME72650-FD</t>
  </si>
  <si>
    <t>BluJay TMS portal</t>
  </si>
  <si>
    <t>FGLASSX36-T2</t>
  </si>
  <si>
    <t>Taghleef - Rosedale, IN</t>
  </si>
  <si>
    <t>EC4100-OP</t>
  </si>
  <si>
    <t>ME20117-T2</t>
  </si>
  <si>
    <t>Cascades Sonoco - Berthierville, QC, CA</t>
  </si>
  <si>
    <t>X1000H-UN</t>
  </si>
  <si>
    <t>X1000H-FD</t>
  </si>
  <si>
    <t>261067PX-T3</t>
  </si>
  <si>
    <t>Red Express</t>
  </si>
  <si>
    <t>Arclin Surfaces -Tacoma, WA</t>
  </si>
  <si>
    <t>ML182-T3</t>
  </si>
  <si>
    <t>Dart Container - Leola, PA</t>
  </si>
  <si>
    <t>251409PX-FD</t>
  </si>
  <si>
    <t>NYS2101-T2</t>
  </si>
  <si>
    <t>ME98740-FD</t>
  </si>
  <si>
    <t>Averitt Express Inc</t>
  </si>
  <si>
    <t>Minwax Company - Flora, IL</t>
  </si>
  <si>
    <t>ML511-OP</t>
  </si>
  <si>
    <t>Smurfit Carton y Papel de Mexico- GTO</t>
  </si>
  <si>
    <t>NM70TNFR-OP</t>
  </si>
  <si>
    <t>PH00101E-OP</t>
  </si>
  <si>
    <t>paul@fergusonfreight.com</t>
  </si>
  <si>
    <t>DF201-JG</t>
  </si>
  <si>
    <t>DPI8001-FD</t>
  </si>
  <si>
    <t>DPI8500-FD</t>
  </si>
  <si>
    <t>Pittsburgh Paints Co. - Huron OH</t>
  </si>
  <si>
    <t>ML511-T3</t>
  </si>
  <si>
    <t>Sherwin Williams - Richmond, KY</t>
  </si>
  <si>
    <t>MS20LV-FD</t>
  </si>
  <si>
    <t>CTMG@Sherwin.com</t>
  </si>
  <si>
    <t>GFC - Granite Falls, NC</t>
  </si>
  <si>
    <t>ME05940-T2</t>
  </si>
  <si>
    <t>Axel  Plastics - Monroe, CT</t>
  </si>
  <si>
    <t>MP34040-FD</t>
  </si>
  <si>
    <t>Amcor - Oshkosh, WI (N Main)</t>
  </si>
  <si>
    <t>MP4983R</t>
  </si>
  <si>
    <t>CH Robinson (Bulk)</t>
  </si>
  <si>
    <t>08/05/26 06:30 LOAD</t>
  </si>
  <si>
    <t>MacDermid - Ferndale, MI</t>
  </si>
  <si>
    <t>PH00017E-T2</t>
  </si>
  <si>
    <t>Univar - Henkel, Warren, MI</t>
  </si>
  <si>
    <t>MGRD4223-FD</t>
  </si>
  <si>
    <t>PO 4579262639</t>
  </si>
  <si>
    <t>Arclad S.A. - Colombia</t>
  </si>
  <si>
    <t>MFR1924A-KP</t>
  </si>
  <si>
    <t>EXW CINCINNATI OH</t>
  </si>
  <si>
    <t>MP498345N-OP</t>
  </si>
  <si>
    <t>labelsandpackaging@sone.com</t>
  </si>
  <si>
    <t>DO NOT USE TRANSPLACE</t>
  </si>
  <si>
    <t>E14-SS</t>
  </si>
  <si>
    <t>Saint Gobain - Albion, NY (East Avenue)</t>
  </si>
  <si>
    <t>MP498340D</t>
  </si>
  <si>
    <t>08/07/26 06:30 LOAD</t>
  </si>
  <si>
    <t>ChemRite CoPac - Lannon, WI</t>
  </si>
  <si>
    <t>MD91530-FD</t>
  </si>
  <si>
    <t>Tekni-plex - Madison, WI</t>
  </si>
  <si>
    <t>MP04422R-FD</t>
  </si>
  <si>
    <t>American Packaging - Rochester, NY</t>
  </si>
  <si>
    <t>MFP2312-FD</t>
  </si>
  <si>
    <t>Oliver-Tolas Health - Feasterville, PA</t>
  </si>
  <si>
    <t>RM108-T3</t>
  </si>
  <si>
    <t>No Appointment needed</t>
  </si>
  <si>
    <t>OCV Mexico  (Tetla plant)</t>
  </si>
  <si>
    <t>BPI Packaging - Memphis, TN</t>
  </si>
  <si>
    <t>ME24414-T2</t>
  </si>
  <si>
    <t>ME94240-FD</t>
  </si>
  <si>
    <t>08/11/26 06:30 LOAD</t>
  </si>
  <si>
    <t>Pure Fishing - Spirit Lake, IA</t>
  </si>
  <si>
    <t>HL137-PL</t>
  </si>
  <si>
    <t>Inteplast/STA - Rogersville, TN</t>
  </si>
  <si>
    <t>Milliken (920) - Spartanburg, SC</t>
  </si>
  <si>
    <t>Atotech Canada - Burlington, ON, CA</t>
  </si>
  <si>
    <t>ME93235-PD</t>
  </si>
  <si>
    <t>Ship on 48 x 48 pallets</t>
  </si>
  <si>
    <t>ME52137</t>
  </si>
  <si>
    <t>08/13/26 06:30 LOAD</t>
  </si>
  <si>
    <t>MGRD7140-FD</t>
  </si>
  <si>
    <t>Auto Adesivos (Beontag)-Brazil</t>
  </si>
  <si>
    <t>JPUV120-FD</t>
  </si>
  <si>
    <t>Axalta - Fridley, MN</t>
  </si>
  <si>
    <t>CIF Tokyo</t>
  </si>
  <si>
    <t>Sherwin Williams - Lebanon, PA</t>
  </si>
  <si>
    <t>ML693-FD</t>
  </si>
  <si>
    <t>Henkel - Delaware, OH</t>
  </si>
  <si>
    <t>MP498340R-T3</t>
  </si>
  <si>
    <t>Advanced Polymer Inc. - Carlstadt., NJ</t>
  </si>
  <si>
    <t>ME70350A-PD</t>
  </si>
  <si>
    <t>FLORENCE TO PROVIDE QTE#</t>
  </si>
  <si>
    <t>DTOX1-PL</t>
  </si>
  <si>
    <t>Fiber Line - Hatfield, PA</t>
  </si>
  <si>
    <t>ME46940-FD</t>
  </si>
  <si>
    <t>ship@shipogre.com</t>
  </si>
  <si>
    <t>Fedrigoni / RITRAMA .-Valparaiso,Chile</t>
  </si>
  <si>
    <t>DPI8000-FD</t>
  </si>
  <si>
    <t>MP48525R-FD</t>
  </si>
  <si>
    <t>Teijin Carbon America - Rockwood, TN</t>
  </si>
  <si>
    <t>EXWORKS CINCINNATI OH</t>
  </si>
  <si>
    <t>HP1632-T2</t>
  </si>
  <si>
    <t>Sherwin Williams - Matteson, IL</t>
  </si>
  <si>
    <t>Solenis (Diversey) - Sao Paulo, Brazil</t>
  </si>
  <si>
    <t>MD91530-KD</t>
  </si>
  <si>
    <t>FORWARDER TO SEND 3BOL / CPU</t>
  </si>
  <si>
    <t>EXWORKS CINCINNATI</t>
  </si>
  <si>
    <t>KHI771-FD</t>
  </si>
  <si>
    <t>NEED 06:30 LOAD</t>
  </si>
  <si>
    <t>Valspar - Brazil</t>
  </si>
  <si>
    <t>ML156-KD</t>
  </si>
  <si>
    <t>FORWARDER TO SEND 3BOL</t>
  </si>
  <si>
    <t>EXWORKS, CINCINNATI</t>
  </si>
  <si>
    <t>Syensqo (Sold-To) - Princeton, NJ</t>
  </si>
  <si>
    <t>MIWAX437-SS</t>
  </si>
  <si>
    <t>CTG102-FD</t>
  </si>
  <si>
    <t>ME20117-PD</t>
  </si>
  <si>
    <t>Capital Adhesives - Mooresville, IN</t>
  </si>
  <si>
    <t>ME41740-T2</t>
  </si>
  <si>
    <t>UN450-FD</t>
  </si>
  <si>
    <t>Stahl de Mexico - Mexico, MX</t>
  </si>
  <si>
    <t>ME67335-T3</t>
  </si>
  <si>
    <t>Clemons Concrete - Nashville, TN</t>
  </si>
  <si>
    <t>Avient Protective Mat.- Greenville, NC</t>
  </si>
  <si>
    <t>Graphicsource-Quito, Ecuador</t>
  </si>
  <si>
    <t>FCA MIAMI FL</t>
  </si>
  <si>
    <t>DG920.E-JG</t>
  </si>
  <si>
    <t>U204-OP</t>
  </si>
  <si>
    <t>MDU20-T2</t>
  </si>
  <si>
    <t>LIQLUB405-FD</t>
  </si>
  <si>
    <t>LIQLUB454-FD</t>
  </si>
  <si>
    <t>CH Robinson (LTL) - Pitt</t>
  </si>
  <si>
    <t>ME91735-KP</t>
  </si>
  <si>
    <t>Monsanto Grain - Villagran Mexico</t>
  </si>
  <si>
    <t>ML160P-KP</t>
  </si>
  <si>
    <t>CPT Laredo, TX</t>
  </si>
  <si>
    <t>Bioplast S.A.C - Peru</t>
  </si>
  <si>
    <t>MFB3530-PL</t>
  </si>
  <si>
    <t>Sayer Lack - MX (Laredo Warehouse)</t>
  </si>
  <si>
    <t>ME39235-KP</t>
  </si>
  <si>
    <t>Chenchem, Taiwan</t>
  </si>
  <si>
    <t>U802-PL</t>
  </si>
  <si>
    <t>DHL</t>
  </si>
  <si>
    <t>CIF KEELUNG</t>
  </si>
  <si>
    <t>LIQLUB448-FD</t>
  </si>
  <si>
    <t>OPP FILM S.A.  - Lima, Peru</t>
  </si>
  <si>
    <t>MFB3530.E-PD</t>
  </si>
  <si>
    <t>PP286-T2</t>
  </si>
  <si>
    <t>LIQLUB504-FD</t>
  </si>
  <si>
    <t>Ashaway Line &amp; Twine - Ashaway, RI</t>
  </si>
  <si>
    <t>HP1632-OP</t>
  </si>
  <si>
    <t>Xactiv - Fairport, NY</t>
  </si>
  <si>
    <t>HP1632-PL</t>
  </si>
  <si>
    <t>Zoltek - St. Charles, MO</t>
  </si>
  <si>
    <t>ME94340-KD</t>
  </si>
  <si>
    <t>Deench Corp - Tainan, Taiwan</t>
  </si>
  <si>
    <t>ME03230-KP</t>
  </si>
  <si>
    <t>Cognos Report</t>
  </si>
  <si>
    <t>As of 7/16/2026</t>
  </si>
  <si>
    <t>Sorted by Promised Ship Date, Order Number. Business key (Order Number, Item, Qty, UOM, Requested Date). Matched 398; Cognos-only 0; PBI-only 0. FALSE cells on matched rows are 12-minute live drift plus one DI2 letter-case source difference (see RS).</t>
  </si>
  <si>
    <t>Cognos</t>
  </si>
  <si>
    <t>Compare</t>
  </si>
  <si>
    <t>PBI</t>
  </si>
  <si>
    <t>Order</t>
  </si>
  <si>
    <t>Customer</t>
  </si>
  <si>
    <t>Next</t>
  </si>
  <si>
    <t>BP</t>
  </si>
  <si>
    <t>Requested</t>
  </si>
  <si>
    <t>Promised Ship</t>
  </si>
  <si>
    <t>Qty</t>
  </si>
  <si>
    <t>UOM</t>
  </si>
  <si>
    <t>Weight</t>
  </si>
  <si>
    <t>Item</t>
  </si>
  <si>
    <t>Hold</t>
  </si>
  <si>
    <t>Carrier</t>
  </si>
  <si>
    <t>MOT</t>
  </si>
  <si>
    <t>DI1</t>
  </si>
  <si>
    <t>DI2</t>
  </si>
  <si>
    <t>Cognos Migration - Report ID 144 - Open Orders - Live Data</t>
  </si>
  <si>
    <t>Data revised 7/16/2026</t>
  </si>
  <si>
    <t>Cognos filters</t>
  </si>
  <si>
    <t>Other  -  key: Order Number, Item, Qty, UOM, Requested Date</t>
  </si>
  <si>
    <t>in Cognos but not in PBI</t>
  </si>
  <si>
    <t>reason</t>
  </si>
  <si>
    <t>(none)</t>
  </si>
  <si>
    <t>in PBI but not in Cognos</t>
  </si>
  <si>
    <t>FALSE cells on matched rows</t>
  </si>
  <si>
    <t>order | item</t>
  </si>
  <si>
    <t>column(s)</t>
  </si>
  <si>
    <t>2743583 | MP4983R-FD</t>
  </si>
  <si>
    <t>Next, Promised Ship, Carrier</t>
  </si>
  <si>
    <t>status advanced 540 -&gt; 550; promised ship pulled in 7/17 -&gt; 7/16; carrier reassigned 3PL -&gt; Customer Pick-up (12-min live drift)</t>
  </si>
  <si>
    <t>2742776 | ML160-FD</t>
  </si>
  <si>
    <t>status advanced 540 -&gt; 550 (12-min live drift)</t>
  </si>
  <si>
    <t>2732235 | MC40HHSN-OP</t>
  </si>
  <si>
    <t>2744295 | DG520IJ-T2</t>
  </si>
  <si>
    <t>MOT set SCH after refresh (12-min live drift)</t>
  </si>
  <si>
    <t>2744295 | DGIJ523-T2</t>
  </si>
  <si>
    <t>2744089 | ME67335-T3</t>
  </si>
  <si>
    <t>DI2 letter-case only: 'EXWORKS Cincinnati' vs 'EXWORKS CINCINNATI' (ODS case difference, not live drift)</t>
  </si>
  <si>
    <t>Tammy / Nae / Kim / Shannon pages: No Data Available in both Cognos and PBI (all rows land on Other - see Notes).</t>
  </si>
  <si>
    <t>SDNXTR &lt; '570' (open lines); SDKCOO = '00010'; SDLNTY NOT IN ('FS','T'); SDDCTO &lt;&gt; 'SQ'.</t>
  </si>
  <si>
    <t>CSR name via F42140 CMRTYPE='CSR' joined on ship-to (SDSHAN); effectively INNER - CSR-less lines drop on every page, faithful to Cognos.</t>
  </si>
  <si>
    <t>Weight = Pricing Qty UOM decode (F41002 UMCONV where no direct UOM match, NULL -&gt; 0); Qty = SDUORG/10000; display values untrimmed (JDE padding preserved).</t>
  </si>
  <si>
    <t>Slicers</t>
  </si>
  <si>
    <t>Links</t>
  </si>
  <si>
    <t>Power BI</t>
  </si>
  <si>
    <t>Pending publish to Power BI Service</t>
  </si>
  <si>
    <t>Michelman Reporting &gt; Customer Service &gt; US CSRs</t>
  </si>
  <si>
    <t>Report Location</t>
  </si>
  <si>
    <t>Note report uses JDE live data (ODS)</t>
  </si>
  <si>
    <t>ODS</t>
  </si>
  <si>
    <t>Comments</t>
  </si>
  <si>
    <t>VERDICT: validated 2026-07-16 tight capture (Cognos export 09:27 vs PBI refresh 09:15) - 398/398 rows, 392 byte-identical across all 15 columns. Residuals = 5 live-drift rows (status/MOT progressions) + 1 letter-case diff (order 2744089, ODS stale-on-UPDATE). Four named pages empty on both sides - page CSRs are former book owners; active books belong to 6 other reps (Chatman/Dowd/Corcoran/Sifuentes/Bachler/Buchheim). Comparison sheet: 8 FALSE cells = the documented residuals.</t>
  </si>
  <si>
    <t>Reconciliation: Cognos-only 0 + PBI-only 0 - all 398 rows paired 1:1 on the business key (no missing or extra orders on either side). 392 of 398 rows byte-identical across all 15 columns; 6 rows carry &gt;=1 FALSE cell (392 + 6 = 398). The 8 FALSE cells = 5 live-drift rows (7 cells) + 1 DI2 source letter-case row (1 cell).</t>
  </si>
  <si>
    <t>FALSE columns by frequency: Next x3 (status 540 -&gt; 550 progressions), MOT x2 (set after refresh), Promised Ship x1, Carrier x1, DI2 x1 (letter-case). All point-in-time live drift across the 12-min capture gap except the DI2 source case difference - no systematic or logic FALSEs.</t>
  </si>
  <si>
    <t>15-column layout; dates m/d/yy; JDE storage padding rendered on BP/Item/Customer/Carrier/Hold/MOT/DI (values untrimmed).</t>
  </si>
  <si>
    <t>Same 15 columns and names, dates m/d/yy, padding preserved byte-identical. Compare block normalizes via EXACT(TRIM()) so padding alone never flags FALSE.</t>
  </si>
  <si>
    <t>Cognos original: 5 pages by hard-coded CSR name (Kim page + Promised Ship &lt; sysdate+30). PBI: single page + multi-select CSR Name slicer (Dave Bubash 2026-07-16); 4 name pages removed (former book owners - permanently empty); Kim +30-day window column retained in model, not applied.</t>
  </si>
  <si>
    <t>CSR Name dropdown, multi-select (replaces the per-CSR pages per Dave Bubash 2026-07-16).</t>
  </si>
  <si>
    <t>Open Orders - Live Data.pbip (1 page: Open Orders + CSR Name slicer)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</si>
</sst>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m/d/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5B60-EA89-4140-9E1A-A4EE638EFB0E}">
  <dimension ref="A1:D25"/>
  <sheetViews>
    <sheetView tabSelected="1" workbookViewId="0"/>
  </sheetViews>
  <sheetFormatPr defaultRowHeight="12.75" x14ac:dyDescent="0.2"/>
  <cols>
    <col min="1" max="1" width="46" style="8" customWidth="1"/>
    <col min="2" max="2" width="9.140625" style="8"/>
    <col min="3" max="4" width="46" style="10" customWidth="1"/>
    <col min="5" max="16384" width="9.140625" style="8"/>
  </cols>
  <sheetData>
    <row r="1" spans="1:4" ht="18" x14ac:dyDescent="0.25">
      <c r="A1" s="9" t="s">
        <v>987</v>
      </c>
    </row>
    <row r="2" spans="1:4" x14ac:dyDescent="0.2">
      <c r="A2" s="8" t="s">
        <v>988</v>
      </c>
    </row>
    <row r="6" spans="1:4" x14ac:dyDescent="0.2">
      <c r="C6" s="11" t="s">
        <v>989</v>
      </c>
    </row>
    <row r="7" spans="1:4" x14ac:dyDescent="0.2">
      <c r="C7" s="10" t="s">
        <v>1010</v>
      </c>
    </row>
    <row r="8" spans="1:4" x14ac:dyDescent="0.2">
      <c r="C8" s="10" t="s">
        <v>1011</v>
      </c>
    </row>
    <row r="9" spans="1:4" x14ac:dyDescent="0.2">
      <c r="C9" s="10" t="s">
        <v>1027</v>
      </c>
    </row>
    <row r="10" spans="1:4" x14ac:dyDescent="0.2">
      <c r="C10" s="10" t="s">
        <v>1012</v>
      </c>
    </row>
    <row r="12" spans="1:4" x14ac:dyDescent="0.2">
      <c r="C12" s="11" t="s">
        <v>1013</v>
      </c>
    </row>
    <row r="13" spans="1:4" x14ac:dyDescent="0.2">
      <c r="C13" s="10" t="s">
        <v>1028</v>
      </c>
    </row>
    <row r="15" spans="1:4" x14ac:dyDescent="0.2">
      <c r="C15" s="11" t="s">
        <v>1014</v>
      </c>
    </row>
    <row r="16" spans="1:4" x14ac:dyDescent="0.2">
      <c r="C16" s="10" t="s">
        <v>1015</v>
      </c>
      <c r="D16" s="10" t="s">
        <v>1016</v>
      </c>
    </row>
    <row r="17" spans="3:4" x14ac:dyDescent="0.2">
      <c r="C17" s="10" t="s">
        <v>969</v>
      </c>
      <c r="D17" s="10" t="s">
        <v>1017</v>
      </c>
    </row>
    <row r="19" spans="3:4" x14ac:dyDescent="0.2">
      <c r="C19" s="11" t="s">
        <v>1018</v>
      </c>
    </row>
    <row r="20" spans="3:4" x14ac:dyDescent="0.2">
      <c r="C20" s="10" t="s">
        <v>969</v>
      </c>
      <c r="D20" s="10" t="s">
        <v>1017</v>
      </c>
    </row>
    <row r="21" spans="3:4" x14ac:dyDescent="0.2">
      <c r="D21" s="10" t="s">
        <v>1019</v>
      </c>
    </row>
    <row r="22" spans="3:4" x14ac:dyDescent="0.2">
      <c r="C22" s="10" t="s">
        <v>1020</v>
      </c>
      <c r="D22" s="10" t="s">
        <v>1029</v>
      </c>
    </row>
    <row r="24" spans="3:4" x14ac:dyDescent="0.2">
      <c r="C24" s="11" t="s">
        <v>1021</v>
      </c>
    </row>
    <row r="25" spans="3:4" x14ac:dyDescent="0.2">
      <c r="C25" s="10" t="s">
        <v>1022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4A8C-0A51-48AE-9926-6126F5D6B27A}">
  <dimension ref="A1:AU407"/>
  <sheetViews>
    <sheetView workbookViewId="0"/>
  </sheetViews>
  <sheetFormatPr defaultRowHeight="15" x14ac:dyDescent="0.25"/>
  <cols>
    <col min="1" max="1" width="11.7109375" style="1" customWidth="1"/>
    <col min="2" max="2" width="34.7109375" customWidth="1"/>
    <col min="3" max="3" width="7.7109375" customWidth="1"/>
    <col min="4" max="4" width="11.7109375" customWidth="1"/>
    <col min="5" max="5" width="11.7109375" style="2" customWidth="1"/>
    <col min="6" max="6" width="14.7109375" style="2" customWidth="1"/>
    <col min="7" max="7" width="9.7109375" style="3" customWidth="1"/>
    <col min="8" max="8" width="7.7109375" customWidth="1"/>
    <col min="9" max="9" width="11.7109375" style="3" customWidth="1"/>
    <col min="10" max="10" width="17.7109375" customWidth="1"/>
    <col min="11" max="11" width="7.7109375" customWidth="1"/>
    <col min="12" max="12" width="22.7109375" customWidth="1"/>
    <col min="13" max="13" width="7.7109375" customWidth="1"/>
    <col min="14" max="15" width="20.7109375" customWidth="1"/>
    <col min="16" max="16" width="3" customWidth="1"/>
    <col min="17" max="17" width="11.7109375" customWidth="1"/>
    <col min="18" max="18" width="34.7109375" customWidth="1"/>
    <col min="19" max="19" width="7.7109375" customWidth="1"/>
    <col min="20" max="21" width="11.7109375" customWidth="1"/>
    <col min="22" max="22" width="14.7109375" customWidth="1"/>
    <col min="23" max="23" width="9.7109375" customWidth="1"/>
    <col min="24" max="24" width="7.7109375" customWidth="1"/>
    <col min="25" max="25" width="11.7109375" customWidth="1"/>
    <col min="26" max="26" width="17.7109375" customWidth="1"/>
    <col min="27" max="27" width="7.7109375" customWidth="1"/>
    <col min="28" max="28" width="22.7109375" customWidth="1"/>
    <col min="29" max="29" width="7.7109375" customWidth="1"/>
    <col min="30" max="31" width="20.7109375" customWidth="1"/>
    <col min="32" max="32" width="3" customWidth="1"/>
    <col min="33" max="33" width="11.7109375" style="1" customWidth="1"/>
    <col min="34" max="34" width="34.7109375" customWidth="1"/>
    <col min="35" max="35" width="7.7109375" customWidth="1"/>
    <col min="36" max="36" width="11.7109375" customWidth="1"/>
    <col min="37" max="37" width="11.7109375" style="2" customWidth="1"/>
    <col min="38" max="38" width="14.7109375" style="2" customWidth="1"/>
    <col min="39" max="39" width="9.7109375" style="3" customWidth="1"/>
    <col min="40" max="40" width="7.7109375" customWidth="1"/>
    <col min="41" max="41" width="11.7109375" style="3" customWidth="1"/>
    <col min="42" max="42" width="17.7109375" customWidth="1"/>
    <col min="43" max="43" width="7.7109375" customWidth="1"/>
    <col min="44" max="44" width="22.7109375" customWidth="1"/>
    <col min="45" max="45" width="7.7109375" customWidth="1"/>
    <col min="46" max="47" width="20.7109375" customWidth="1"/>
  </cols>
  <sheetData>
    <row r="1" spans="1:47" x14ac:dyDescent="0.25">
      <c r="A1" s="4" t="s">
        <v>966</v>
      </c>
    </row>
    <row r="2" spans="1:47" x14ac:dyDescent="0.25">
      <c r="A2" s="1" t="s">
        <v>967</v>
      </c>
    </row>
    <row r="4" spans="1:47" x14ac:dyDescent="0.25">
      <c r="A4" s="1" t="s">
        <v>968</v>
      </c>
    </row>
    <row r="7" spans="1:47" x14ac:dyDescent="0.25">
      <c r="A7" s="4" t="s">
        <v>969</v>
      </c>
      <c r="Q7" s="5" t="s">
        <v>970</v>
      </c>
      <c r="AG7" s="4" t="s">
        <v>971</v>
      </c>
    </row>
    <row r="9" spans="1:47" x14ac:dyDescent="0.25">
      <c r="A9" s="4" t="s">
        <v>972</v>
      </c>
      <c r="B9" s="5" t="s">
        <v>973</v>
      </c>
      <c r="C9" s="5" t="s">
        <v>974</v>
      </c>
      <c r="D9" s="5" t="s">
        <v>975</v>
      </c>
      <c r="E9" s="6" t="s">
        <v>976</v>
      </c>
      <c r="F9" s="6" t="s">
        <v>977</v>
      </c>
      <c r="G9" s="7" t="s">
        <v>978</v>
      </c>
      <c r="H9" s="5" t="s">
        <v>979</v>
      </c>
      <c r="I9" s="7" t="s">
        <v>980</v>
      </c>
      <c r="J9" s="5" t="s">
        <v>981</v>
      </c>
      <c r="K9" s="5" t="s">
        <v>982</v>
      </c>
      <c r="L9" s="5" t="s">
        <v>983</v>
      </c>
      <c r="M9" s="5" t="s">
        <v>984</v>
      </c>
      <c r="N9" s="5" t="s">
        <v>985</v>
      </c>
      <c r="O9" s="5" t="s">
        <v>986</v>
      </c>
      <c r="Q9" s="5" t="s">
        <v>972</v>
      </c>
      <c r="R9" s="5" t="s">
        <v>973</v>
      </c>
      <c r="S9" s="5" t="s">
        <v>974</v>
      </c>
      <c r="T9" s="5" t="s">
        <v>975</v>
      </c>
      <c r="U9" s="5" t="s">
        <v>976</v>
      </c>
      <c r="V9" s="5" t="s">
        <v>977</v>
      </c>
      <c r="W9" s="5" t="s">
        <v>978</v>
      </c>
      <c r="X9" s="5" t="s">
        <v>979</v>
      </c>
      <c r="Y9" s="5" t="s">
        <v>980</v>
      </c>
      <c r="Z9" s="5" t="s">
        <v>981</v>
      </c>
      <c r="AA9" s="5" t="s">
        <v>982</v>
      </c>
      <c r="AB9" s="5" t="s">
        <v>983</v>
      </c>
      <c r="AC9" s="5" t="s">
        <v>984</v>
      </c>
      <c r="AD9" s="5" t="s">
        <v>985</v>
      </c>
      <c r="AE9" s="5" t="s">
        <v>986</v>
      </c>
      <c r="AG9" s="4" t="s">
        <v>972</v>
      </c>
      <c r="AH9" s="5" t="s">
        <v>973</v>
      </c>
      <c r="AI9" s="5" t="s">
        <v>974</v>
      </c>
      <c r="AJ9" s="5" t="s">
        <v>975</v>
      </c>
      <c r="AK9" s="6" t="s">
        <v>976</v>
      </c>
      <c r="AL9" s="6" t="s">
        <v>977</v>
      </c>
      <c r="AM9" s="7" t="s">
        <v>978</v>
      </c>
      <c r="AN9" s="5" t="s">
        <v>979</v>
      </c>
      <c r="AO9" s="7" t="s">
        <v>980</v>
      </c>
      <c r="AP9" s="5" t="s">
        <v>981</v>
      </c>
      <c r="AQ9" s="5" t="s">
        <v>982</v>
      </c>
      <c r="AR9" s="5" t="s">
        <v>983</v>
      </c>
      <c r="AS9" s="5" t="s">
        <v>984</v>
      </c>
      <c r="AT9" s="5" t="s">
        <v>985</v>
      </c>
      <c r="AU9" s="5" t="s">
        <v>986</v>
      </c>
    </row>
    <row r="10" spans="1:47" x14ac:dyDescent="0.25">
      <c r="A10" s="1">
        <v>2728414</v>
      </c>
      <c r="B10" t="s">
        <v>0</v>
      </c>
      <c r="C10">
        <v>560</v>
      </c>
      <c r="D10" t="s">
        <v>1</v>
      </c>
      <c r="E10" s="2">
        <v>46217</v>
      </c>
      <c r="F10" s="2">
        <v>46217</v>
      </c>
      <c r="G10" s="3">
        <v>48</v>
      </c>
      <c r="H10" t="s">
        <v>2</v>
      </c>
      <c r="I10" s="3">
        <v>1920</v>
      </c>
      <c r="J10" t="s">
        <v>3</v>
      </c>
      <c r="K10" t="s">
        <v>4</v>
      </c>
      <c r="L10" t="s">
        <v>5</v>
      </c>
      <c r="M10" t="s">
        <v>6</v>
      </c>
      <c r="N10" t="s">
        <v>7</v>
      </c>
      <c r="O10" t="s">
        <v>7</v>
      </c>
      <c r="Q10" t="b">
        <f t="shared" ref="Q10:Q73" si="0">IFERROR(ABS(A10-AG10)&lt;=0.001,EXACT(A10&amp;"",AG10&amp;""))</f>
        <v>1</v>
      </c>
      <c r="R10" t="b">
        <f t="shared" ref="R10:R73" si="1">EXACT(TRIM(B10&amp;""),TRIM(AH10&amp;""))</f>
        <v>1</v>
      </c>
      <c r="S10" t="b">
        <f t="shared" ref="S10:S73" si="2">EXACT(TRIM(C10&amp;""),TRIM(AI10&amp;""))</f>
        <v>1</v>
      </c>
      <c r="T10" t="b">
        <f t="shared" ref="T10:T73" si="3">EXACT(TRIM(D10&amp;""),TRIM(AJ10&amp;""))</f>
        <v>1</v>
      </c>
      <c r="U10" t="b">
        <f t="shared" ref="U10:U73" si="4">IFERROR(INT(E10)=INT(AK10),EXACT(E10&amp;"",AK10&amp;""))</f>
        <v>1</v>
      </c>
      <c r="V10" t="b">
        <f t="shared" ref="V10:V73" si="5">IFERROR(INT(F10)=INT(AL10),EXACT(F10&amp;"",AL10&amp;""))</f>
        <v>1</v>
      </c>
      <c r="W10" t="b">
        <f t="shared" ref="W10:W73" si="6">IFERROR(ROUND(G10,0)=ROUND(AM10,0),EXACT(G10&amp;"",AM10&amp;""))</f>
        <v>1</v>
      </c>
      <c r="X10" t="b">
        <f t="shared" ref="X10:X73" si="7">EXACT(TRIM(H10&amp;""),TRIM(AN10&amp;""))</f>
        <v>1</v>
      </c>
      <c r="Y10" t="b">
        <f t="shared" ref="Y10:Y73" si="8">IFERROR(ROUND(I10,0)=ROUND(AO10,0),EXACT(I10&amp;"",AO10&amp;""))</f>
        <v>1</v>
      </c>
      <c r="Z10" t="b">
        <f t="shared" ref="Z10:Z73" si="9">EXACT(TRIM(J10&amp;""),TRIM(AP10&amp;""))</f>
        <v>1</v>
      </c>
      <c r="AA10" t="b">
        <f t="shared" ref="AA10:AA73" si="10">EXACT(TRIM(K10&amp;""),TRIM(AQ10&amp;""))</f>
        <v>1</v>
      </c>
      <c r="AB10" t="b">
        <f t="shared" ref="AB10:AB73" si="11">EXACT(TRIM(L10&amp;""),TRIM(AR10&amp;""))</f>
        <v>1</v>
      </c>
      <c r="AC10" t="b">
        <f t="shared" ref="AC10:AC73" si="12">EXACT(TRIM(M10&amp;""),TRIM(AS10&amp;""))</f>
        <v>1</v>
      </c>
      <c r="AD10" t="b">
        <f t="shared" ref="AD10:AD73" si="13">EXACT(TRIM(N10&amp;""),TRIM(AT10&amp;""))</f>
        <v>1</v>
      </c>
      <c r="AE10" t="b">
        <f t="shared" ref="AE10:AE73" si="14">EXACT(TRIM(O10&amp;""),TRIM(AU10&amp;""))</f>
        <v>1</v>
      </c>
      <c r="AG10" s="1">
        <v>2728414</v>
      </c>
      <c r="AH10" t="s">
        <v>502</v>
      </c>
      <c r="AI10">
        <v>560</v>
      </c>
      <c r="AJ10" t="s">
        <v>503</v>
      </c>
      <c r="AK10" s="2">
        <v>46217</v>
      </c>
      <c r="AL10" s="2">
        <v>46217</v>
      </c>
      <c r="AM10" s="3">
        <v>48</v>
      </c>
      <c r="AN10" t="s">
        <v>2</v>
      </c>
      <c r="AO10" s="3">
        <v>1920</v>
      </c>
      <c r="AP10" t="s">
        <v>504</v>
      </c>
      <c r="AR10" t="s">
        <v>505</v>
      </c>
    </row>
    <row r="11" spans="1:47" x14ac:dyDescent="0.25">
      <c r="A11" s="1">
        <v>2728414</v>
      </c>
      <c r="B11" t="s">
        <v>0</v>
      </c>
      <c r="C11">
        <v>560</v>
      </c>
      <c r="D11" t="s">
        <v>1</v>
      </c>
      <c r="E11" s="2">
        <v>46217</v>
      </c>
      <c r="F11" s="2">
        <v>46217</v>
      </c>
      <c r="G11" s="3">
        <v>48</v>
      </c>
      <c r="H11" t="s">
        <v>8</v>
      </c>
      <c r="I11" s="3">
        <v>2112</v>
      </c>
      <c r="J11" t="s">
        <v>9</v>
      </c>
      <c r="K11" t="s">
        <v>4</v>
      </c>
      <c r="L11" t="s">
        <v>5</v>
      </c>
      <c r="M11" t="s">
        <v>6</v>
      </c>
      <c r="N11" t="s">
        <v>7</v>
      </c>
      <c r="O11" t="s">
        <v>7</v>
      </c>
      <c r="Q11" t="b">
        <f t="shared" si="0"/>
        <v>1</v>
      </c>
      <c r="R11" t="b">
        <f t="shared" si="1"/>
        <v>1</v>
      </c>
      <c r="S11" t="b">
        <f t="shared" si="2"/>
        <v>1</v>
      </c>
      <c r="T11" t="b">
        <f t="shared" si="3"/>
        <v>1</v>
      </c>
      <c r="U11" t="b">
        <f t="shared" si="4"/>
        <v>1</v>
      </c>
      <c r="V11" t="b">
        <f t="shared" si="5"/>
        <v>1</v>
      </c>
      <c r="W11" t="b">
        <f t="shared" si="6"/>
        <v>1</v>
      </c>
      <c r="X11" t="b">
        <f t="shared" si="7"/>
        <v>1</v>
      </c>
      <c r="Y11" t="b">
        <f t="shared" si="8"/>
        <v>1</v>
      </c>
      <c r="Z11" t="b">
        <f t="shared" si="9"/>
        <v>1</v>
      </c>
      <c r="AA11" t="b">
        <f t="shared" si="10"/>
        <v>1</v>
      </c>
      <c r="AB11" t="b">
        <f t="shared" si="11"/>
        <v>1</v>
      </c>
      <c r="AC11" t="b">
        <f t="shared" si="12"/>
        <v>1</v>
      </c>
      <c r="AD11" t="b">
        <f t="shared" si="13"/>
        <v>1</v>
      </c>
      <c r="AE11" t="b">
        <f t="shared" si="14"/>
        <v>1</v>
      </c>
      <c r="AG11" s="1">
        <v>2728414</v>
      </c>
      <c r="AH11" t="s">
        <v>502</v>
      </c>
      <c r="AI11">
        <v>560</v>
      </c>
      <c r="AJ11" t="s">
        <v>503</v>
      </c>
      <c r="AK11" s="2">
        <v>46217</v>
      </c>
      <c r="AL11" s="2">
        <v>46217</v>
      </c>
      <c r="AM11" s="3">
        <v>48</v>
      </c>
      <c r="AN11" t="s">
        <v>8</v>
      </c>
      <c r="AO11" s="3">
        <v>2112</v>
      </c>
      <c r="AP11" t="s">
        <v>506</v>
      </c>
      <c r="AR11" t="s">
        <v>505</v>
      </c>
    </row>
    <row r="12" spans="1:47" x14ac:dyDescent="0.25">
      <c r="A12" s="1">
        <v>2723219</v>
      </c>
      <c r="B12" t="s">
        <v>10</v>
      </c>
      <c r="C12">
        <v>560</v>
      </c>
      <c r="D12" t="s">
        <v>1</v>
      </c>
      <c r="E12" s="2">
        <v>46218</v>
      </c>
      <c r="F12" s="2">
        <v>46218</v>
      </c>
      <c r="G12" s="3">
        <v>18</v>
      </c>
      <c r="H12" t="s">
        <v>11</v>
      </c>
      <c r="I12" s="3">
        <v>39600</v>
      </c>
      <c r="J12" t="s">
        <v>12</v>
      </c>
      <c r="K12" t="s">
        <v>4</v>
      </c>
      <c r="L12" t="s">
        <v>5</v>
      </c>
      <c r="M12" t="s">
        <v>6</v>
      </c>
      <c r="N12" t="s">
        <v>13</v>
      </c>
      <c r="O12" t="s">
        <v>7</v>
      </c>
      <c r="Q12" t="b">
        <f t="shared" si="0"/>
        <v>1</v>
      </c>
      <c r="R12" t="b">
        <f t="shared" si="1"/>
        <v>1</v>
      </c>
      <c r="S12" t="b">
        <f t="shared" si="2"/>
        <v>1</v>
      </c>
      <c r="T12" t="b">
        <f t="shared" si="3"/>
        <v>1</v>
      </c>
      <c r="U12" t="b">
        <f t="shared" si="4"/>
        <v>1</v>
      </c>
      <c r="V12" t="b">
        <f t="shared" si="5"/>
        <v>1</v>
      </c>
      <c r="W12" t="b">
        <f t="shared" si="6"/>
        <v>1</v>
      </c>
      <c r="X12" t="b">
        <f t="shared" si="7"/>
        <v>1</v>
      </c>
      <c r="Y12" t="b">
        <f t="shared" si="8"/>
        <v>1</v>
      </c>
      <c r="Z12" t="b">
        <f t="shared" si="9"/>
        <v>1</v>
      </c>
      <c r="AA12" t="b">
        <f t="shared" si="10"/>
        <v>1</v>
      </c>
      <c r="AB12" t="b">
        <f t="shared" si="11"/>
        <v>1</v>
      </c>
      <c r="AC12" t="b">
        <f t="shared" si="12"/>
        <v>1</v>
      </c>
      <c r="AD12" t="b">
        <f t="shared" si="13"/>
        <v>1</v>
      </c>
      <c r="AE12" t="b">
        <f t="shared" si="14"/>
        <v>1</v>
      </c>
      <c r="AG12" s="1">
        <v>2723219</v>
      </c>
      <c r="AH12" t="s">
        <v>507</v>
      </c>
      <c r="AI12">
        <v>560</v>
      </c>
      <c r="AJ12" t="s">
        <v>503</v>
      </c>
      <c r="AK12" s="2">
        <v>46218</v>
      </c>
      <c r="AL12" s="2">
        <v>46218</v>
      </c>
      <c r="AM12" s="3">
        <v>18</v>
      </c>
      <c r="AN12" t="s">
        <v>11</v>
      </c>
      <c r="AO12" s="3">
        <v>39600</v>
      </c>
      <c r="AP12" t="s">
        <v>508</v>
      </c>
      <c r="AR12" t="s">
        <v>505</v>
      </c>
      <c r="AT12" t="s">
        <v>509</v>
      </c>
    </row>
    <row r="13" spans="1:47" x14ac:dyDescent="0.25">
      <c r="A13" s="1">
        <v>2729867</v>
      </c>
      <c r="B13" t="s">
        <v>14</v>
      </c>
      <c r="C13">
        <v>540</v>
      </c>
      <c r="D13" t="s">
        <v>15</v>
      </c>
      <c r="E13" s="2">
        <v>46218</v>
      </c>
      <c r="F13" s="2">
        <v>46218</v>
      </c>
      <c r="G13" s="3">
        <v>44000</v>
      </c>
      <c r="H13" t="s">
        <v>16</v>
      </c>
      <c r="I13" s="3">
        <v>44000</v>
      </c>
      <c r="J13" t="s">
        <v>17</v>
      </c>
      <c r="K13" t="s">
        <v>4</v>
      </c>
      <c r="L13" t="s">
        <v>5</v>
      </c>
      <c r="M13" t="s">
        <v>6</v>
      </c>
      <c r="N13" t="s">
        <v>7</v>
      </c>
      <c r="O13" t="s">
        <v>18</v>
      </c>
      <c r="Q13" t="b">
        <f t="shared" si="0"/>
        <v>1</v>
      </c>
      <c r="R13" t="b">
        <f t="shared" si="1"/>
        <v>1</v>
      </c>
      <c r="S13" t="b">
        <f t="shared" si="2"/>
        <v>1</v>
      </c>
      <c r="T13" t="b">
        <f t="shared" si="3"/>
        <v>1</v>
      </c>
      <c r="U13" t="b">
        <f t="shared" si="4"/>
        <v>1</v>
      </c>
      <c r="V13" t="b">
        <f t="shared" si="5"/>
        <v>1</v>
      </c>
      <c r="W13" t="b">
        <f t="shared" si="6"/>
        <v>1</v>
      </c>
      <c r="X13" t="b">
        <f t="shared" si="7"/>
        <v>1</v>
      </c>
      <c r="Y13" t="b">
        <f t="shared" si="8"/>
        <v>1</v>
      </c>
      <c r="Z13" t="b">
        <f t="shared" si="9"/>
        <v>1</v>
      </c>
      <c r="AA13" t="b">
        <f t="shared" si="10"/>
        <v>1</v>
      </c>
      <c r="AB13" t="b">
        <f t="shared" si="11"/>
        <v>1</v>
      </c>
      <c r="AC13" t="b">
        <f t="shared" si="12"/>
        <v>1</v>
      </c>
      <c r="AD13" t="b">
        <f t="shared" si="13"/>
        <v>1</v>
      </c>
      <c r="AE13" t="b">
        <f t="shared" si="14"/>
        <v>1</v>
      </c>
      <c r="AG13" s="1">
        <v>2729867</v>
      </c>
      <c r="AH13" t="s">
        <v>510</v>
      </c>
      <c r="AI13">
        <v>540</v>
      </c>
      <c r="AJ13" t="s">
        <v>511</v>
      </c>
      <c r="AK13" s="2">
        <v>46218</v>
      </c>
      <c r="AL13" s="2">
        <v>46218</v>
      </c>
      <c r="AM13" s="3">
        <v>44000</v>
      </c>
      <c r="AN13" t="s">
        <v>16</v>
      </c>
      <c r="AO13" s="3">
        <v>44000</v>
      </c>
      <c r="AP13" t="s">
        <v>512</v>
      </c>
      <c r="AR13" t="s">
        <v>505</v>
      </c>
      <c r="AU13" t="s">
        <v>513</v>
      </c>
    </row>
    <row r="14" spans="1:47" x14ac:dyDescent="0.25">
      <c r="A14" s="1">
        <v>2569170</v>
      </c>
      <c r="B14" t="s">
        <v>19</v>
      </c>
      <c r="C14">
        <v>540</v>
      </c>
      <c r="D14" t="s">
        <v>1</v>
      </c>
      <c r="E14" s="2">
        <v>46212</v>
      </c>
      <c r="F14" s="2">
        <v>46219</v>
      </c>
      <c r="G14" s="3">
        <v>80</v>
      </c>
      <c r="H14" t="s">
        <v>20</v>
      </c>
      <c r="I14" s="3">
        <v>36000</v>
      </c>
      <c r="J14" t="s">
        <v>21</v>
      </c>
      <c r="K14" t="s">
        <v>4</v>
      </c>
      <c r="L14" t="s">
        <v>22</v>
      </c>
      <c r="M14" t="s">
        <v>23</v>
      </c>
      <c r="N14" t="s">
        <v>7</v>
      </c>
      <c r="O14" t="s">
        <v>7</v>
      </c>
      <c r="Q14" t="b">
        <f t="shared" si="0"/>
        <v>1</v>
      </c>
      <c r="R14" t="b">
        <f t="shared" si="1"/>
        <v>1</v>
      </c>
      <c r="S14" t="b">
        <f t="shared" si="2"/>
        <v>1</v>
      </c>
      <c r="T14" t="b">
        <f t="shared" si="3"/>
        <v>1</v>
      </c>
      <c r="U14" t="b">
        <f t="shared" si="4"/>
        <v>1</v>
      </c>
      <c r="V14" t="b">
        <f t="shared" si="5"/>
        <v>1</v>
      </c>
      <c r="W14" t="b">
        <f t="shared" si="6"/>
        <v>1</v>
      </c>
      <c r="X14" t="b">
        <f t="shared" si="7"/>
        <v>1</v>
      </c>
      <c r="Y14" t="b">
        <f t="shared" si="8"/>
        <v>1</v>
      </c>
      <c r="Z14" t="b">
        <f t="shared" si="9"/>
        <v>1</v>
      </c>
      <c r="AA14" t="b">
        <f t="shared" si="10"/>
        <v>1</v>
      </c>
      <c r="AB14" t="b">
        <f t="shared" si="11"/>
        <v>1</v>
      </c>
      <c r="AC14" t="b">
        <f t="shared" si="12"/>
        <v>1</v>
      </c>
      <c r="AD14" t="b">
        <f t="shared" si="13"/>
        <v>1</v>
      </c>
      <c r="AE14" t="b">
        <f t="shared" si="14"/>
        <v>1</v>
      </c>
      <c r="AG14" s="1">
        <v>2569170</v>
      </c>
      <c r="AH14" t="s">
        <v>514</v>
      </c>
      <c r="AI14">
        <v>540</v>
      </c>
      <c r="AJ14" t="s">
        <v>503</v>
      </c>
      <c r="AK14" s="2">
        <v>46212</v>
      </c>
      <c r="AL14" s="2">
        <v>46219</v>
      </c>
      <c r="AM14" s="3">
        <v>80</v>
      </c>
      <c r="AN14" t="s">
        <v>20</v>
      </c>
      <c r="AO14" s="3">
        <v>36000</v>
      </c>
      <c r="AP14" t="s">
        <v>515</v>
      </c>
      <c r="AR14" t="s">
        <v>516</v>
      </c>
      <c r="AS14" t="s">
        <v>23</v>
      </c>
    </row>
    <row r="15" spans="1:47" x14ac:dyDescent="0.25">
      <c r="A15" s="1">
        <v>2669880</v>
      </c>
      <c r="B15" t="s">
        <v>24</v>
      </c>
      <c r="C15">
        <v>540</v>
      </c>
      <c r="D15" t="s">
        <v>1</v>
      </c>
      <c r="E15" s="2">
        <v>46219</v>
      </c>
      <c r="F15" s="2">
        <v>46219</v>
      </c>
      <c r="G15" s="3">
        <v>14</v>
      </c>
      <c r="H15" t="s">
        <v>11</v>
      </c>
      <c r="I15" s="3">
        <v>30800</v>
      </c>
      <c r="J15" t="s">
        <v>25</v>
      </c>
      <c r="K15" t="s">
        <v>4</v>
      </c>
      <c r="L15" t="s">
        <v>22</v>
      </c>
      <c r="M15" t="s">
        <v>23</v>
      </c>
      <c r="N15" t="s">
        <v>7</v>
      </c>
      <c r="O15" t="s">
        <v>7</v>
      </c>
      <c r="Q15" t="b">
        <f t="shared" si="0"/>
        <v>1</v>
      </c>
      <c r="R15" t="b">
        <f t="shared" si="1"/>
        <v>1</v>
      </c>
      <c r="S15" t="b">
        <f t="shared" si="2"/>
        <v>1</v>
      </c>
      <c r="T15" t="b">
        <f t="shared" si="3"/>
        <v>1</v>
      </c>
      <c r="U15" t="b">
        <f t="shared" si="4"/>
        <v>1</v>
      </c>
      <c r="V15" t="b">
        <f t="shared" si="5"/>
        <v>1</v>
      </c>
      <c r="W15" t="b">
        <f t="shared" si="6"/>
        <v>1</v>
      </c>
      <c r="X15" t="b">
        <f t="shared" si="7"/>
        <v>1</v>
      </c>
      <c r="Y15" t="b">
        <f t="shared" si="8"/>
        <v>1</v>
      </c>
      <c r="Z15" t="b">
        <f t="shared" si="9"/>
        <v>1</v>
      </c>
      <c r="AA15" t="b">
        <f t="shared" si="10"/>
        <v>1</v>
      </c>
      <c r="AB15" t="b">
        <f t="shared" si="11"/>
        <v>1</v>
      </c>
      <c r="AC15" t="b">
        <f t="shared" si="12"/>
        <v>1</v>
      </c>
      <c r="AD15" t="b">
        <f t="shared" si="13"/>
        <v>1</v>
      </c>
      <c r="AE15" t="b">
        <f t="shared" si="14"/>
        <v>1</v>
      </c>
      <c r="AG15" s="1">
        <v>2669880</v>
      </c>
      <c r="AH15" t="s">
        <v>517</v>
      </c>
      <c r="AI15">
        <v>540</v>
      </c>
      <c r="AJ15" t="s">
        <v>503</v>
      </c>
      <c r="AK15" s="2">
        <v>46219</v>
      </c>
      <c r="AL15" s="2">
        <v>46219</v>
      </c>
      <c r="AM15" s="3">
        <v>14</v>
      </c>
      <c r="AN15" t="s">
        <v>11</v>
      </c>
      <c r="AO15" s="3">
        <v>30800</v>
      </c>
      <c r="AP15" t="s">
        <v>518</v>
      </c>
      <c r="AR15" t="s">
        <v>516</v>
      </c>
      <c r="AS15" t="s">
        <v>23</v>
      </c>
    </row>
    <row r="16" spans="1:47" x14ac:dyDescent="0.25">
      <c r="A16" s="1">
        <v>2717274</v>
      </c>
      <c r="B16" t="s">
        <v>26</v>
      </c>
      <c r="C16">
        <v>540</v>
      </c>
      <c r="D16" t="s">
        <v>1</v>
      </c>
      <c r="E16" s="2">
        <v>46219</v>
      </c>
      <c r="F16" s="2">
        <v>46219</v>
      </c>
      <c r="G16" s="3">
        <v>5</v>
      </c>
      <c r="H16" t="s">
        <v>27</v>
      </c>
      <c r="I16" s="3">
        <v>0</v>
      </c>
      <c r="J16" t="s">
        <v>28</v>
      </c>
      <c r="K16" t="s">
        <v>29</v>
      </c>
      <c r="L16" t="s">
        <v>30</v>
      </c>
      <c r="M16" t="s">
        <v>6</v>
      </c>
      <c r="N16" t="s">
        <v>7</v>
      </c>
      <c r="O16" t="s">
        <v>31</v>
      </c>
      <c r="Q16" t="b">
        <f t="shared" si="0"/>
        <v>1</v>
      </c>
      <c r="R16" t="b">
        <f t="shared" si="1"/>
        <v>1</v>
      </c>
      <c r="S16" t="b">
        <f t="shared" si="2"/>
        <v>1</v>
      </c>
      <c r="T16" t="b">
        <f t="shared" si="3"/>
        <v>1</v>
      </c>
      <c r="U16" t="b">
        <f t="shared" si="4"/>
        <v>1</v>
      </c>
      <c r="V16" t="b">
        <f t="shared" si="5"/>
        <v>1</v>
      </c>
      <c r="W16" t="b">
        <f t="shared" si="6"/>
        <v>1</v>
      </c>
      <c r="X16" t="b">
        <f t="shared" si="7"/>
        <v>1</v>
      </c>
      <c r="Y16" t="b">
        <f t="shared" si="8"/>
        <v>1</v>
      </c>
      <c r="Z16" t="b">
        <f t="shared" si="9"/>
        <v>1</v>
      </c>
      <c r="AA16" t="b">
        <f t="shared" si="10"/>
        <v>1</v>
      </c>
      <c r="AB16" t="b">
        <f t="shared" si="11"/>
        <v>1</v>
      </c>
      <c r="AC16" t="b">
        <f t="shared" si="12"/>
        <v>1</v>
      </c>
      <c r="AD16" t="b">
        <f t="shared" si="13"/>
        <v>1</v>
      </c>
      <c r="AE16" t="b">
        <f t="shared" si="14"/>
        <v>1</v>
      </c>
      <c r="AG16" s="1">
        <v>2717274</v>
      </c>
      <c r="AH16" t="s">
        <v>519</v>
      </c>
      <c r="AI16">
        <v>540</v>
      </c>
      <c r="AJ16" t="s">
        <v>503</v>
      </c>
      <c r="AK16" s="2">
        <v>46219</v>
      </c>
      <c r="AL16" s="2">
        <v>46219</v>
      </c>
      <c r="AM16" s="3">
        <v>5</v>
      </c>
      <c r="AN16" t="s">
        <v>27</v>
      </c>
      <c r="AO16" s="3">
        <v>0</v>
      </c>
      <c r="AP16" t="s">
        <v>520</v>
      </c>
      <c r="AQ16" t="s">
        <v>29</v>
      </c>
      <c r="AR16" t="s">
        <v>521</v>
      </c>
      <c r="AU16" t="s">
        <v>522</v>
      </c>
    </row>
    <row r="17" spans="1:47" x14ac:dyDescent="0.25">
      <c r="A17" s="1">
        <v>2721800</v>
      </c>
      <c r="B17" t="s">
        <v>32</v>
      </c>
      <c r="C17">
        <v>560</v>
      </c>
      <c r="D17" t="s">
        <v>1</v>
      </c>
      <c r="E17" s="2">
        <v>46198</v>
      </c>
      <c r="F17" s="2">
        <v>46219</v>
      </c>
      <c r="G17" s="3">
        <v>7</v>
      </c>
      <c r="H17" t="s">
        <v>11</v>
      </c>
      <c r="I17" s="3">
        <v>24500</v>
      </c>
      <c r="J17" t="s">
        <v>33</v>
      </c>
      <c r="K17" t="s">
        <v>4</v>
      </c>
      <c r="L17" t="s">
        <v>5</v>
      </c>
      <c r="M17" t="s">
        <v>6</v>
      </c>
      <c r="N17" t="s">
        <v>7</v>
      </c>
      <c r="O17" t="s">
        <v>7</v>
      </c>
      <c r="Q17" t="b">
        <f t="shared" si="0"/>
        <v>1</v>
      </c>
      <c r="R17" t="b">
        <f t="shared" si="1"/>
        <v>1</v>
      </c>
      <c r="S17" t="b">
        <f t="shared" si="2"/>
        <v>1</v>
      </c>
      <c r="T17" t="b">
        <f t="shared" si="3"/>
        <v>1</v>
      </c>
      <c r="U17" t="b">
        <f t="shared" si="4"/>
        <v>1</v>
      </c>
      <c r="V17" t="b">
        <f t="shared" si="5"/>
        <v>1</v>
      </c>
      <c r="W17" t="b">
        <f t="shared" si="6"/>
        <v>1</v>
      </c>
      <c r="X17" t="b">
        <f t="shared" si="7"/>
        <v>1</v>
      </c>
      <c r="Y17" t="b">
        <f t="shared" si="8"/>
        <v>1</v>
      </c>
      <c r="Z17" t="b">
        <f t="shared" si="9"/>
        <v>1</v>
      </c>
      <c r="AA17" t="b">
        <f t="shared" si="10"/>
        <v>1</v>
      </c>
      <c r="AB17" t="b">
        <f t="shared" si="11"/>
        <v>1</v>
      </c>
      <c r="AC17" t="b">
        <f t="shared" si="12"/>
        <v>1</v>
      </c>
      <c r="AD17" t="b">
        <f t="shared" si="13"/>
        <v>1</v>
      </c>
      <c r="AE17" t="b">
        <f t="shared" si="14"/>
        <v>1</v>
      </c>
      <c r="AG17" s="1">
        <v>2721800</v>
      </c>
      <c r="AH17" t="s">
        <v>523</v>
      </c>
      <c r="AI17">
        <v>560</v>
      </c>
      <c r="AJ17" t="s">
        <v>503</v>
      </c>
      <c r="AK17" s="2">
        <v>46198</v>
      </c>
      <c r="AL17" s="2">
        <v>46219</v>
      </c>
      <c r="AM17" s="3">
        <v>7</v>
      </c>
      <c r="AN17" t="s">
        <v>11</v>
      </c>
      <c r="AO17" s="3">
        <v>24500</v>
      </c>
      <c r="AP17" t="s">
        <v>524</v>
      </c>
      <c r="AR17" t="s">
        <v>505</v>
      </c>
    </row>
    <row r="18" spans="1:47" x14ac:dyDescent="0.25">
      <c r="A18" s="1">
        <v>2721800</v>
      </c>
      <c r="B18" t="s">
        <v>32</v>
      </c>
      <c r="C18">
        <v>560</v>
      </c>
      <c r="D18" t="s">
        <v>1</v>
      </c>
      <c r="E18" s="2">
        <v>46198</v>
      </c>
      <c r="F18" s="2">
        <v>46219</v>
      </c>
      <c r="G18" s="3">
        <v>6</v>
      </c>
      <c r="H18" t="s">
        <v>11</v>
      </c>
      <c r="I18" s="3">
        <v>16200</v>
      </c>
      <c r="J18" t="s">
        <v>34</v>
      </c>
      <c r="K18" t="s">
        <v>4</v>
      </c>
      <c r="L18" t="s">
        <v>5</v>
      </c>
      <c r="M18" t="s">
        <v>6</v>
      </c>
      <c r="N18" t="s">
        <v>7</v>
      </c>
      <c r="O18" t="s">
        <v>7</v>
      </c>
      <c r="Q18" t="b">
        <f t="shared" si="0"/>
        <v>1</v>
      </c>
      <c r="R18" t="b">
        <f t="shared" si="1"/>
        <v>1</v>
      </c>
      <c r="S18" t="b">
        <f t="shared" si="2"/>
        <v>1</v>
      </c>
      <c r="T18" t="b">
        <f t="shared" si="3"/>
        <v>1</v>
      </c>
      <c r="U18" t="b">
        <f t="shared" si="4"/>
        <v>1</v>
      </c>
      <c r="V18" t="b">
        <f t="shared" si="5"/>
        <v>1</v>
      </c>
      <c r="W18" t="b">
        <f t="shared" si="6"/>
        <v>1</v>
      </c>
      <c r="X18" t="b">
        <f t="shared" si="7"/>
        <v>1</v>
      </c>
      <c r="Y18" t="b">
        <f t="shared" si="8"/>
        <v>1</v>
      </c>
      <c r="Z18" t="b">
        <f t="shared" si="9"/>
        <v>1</v>
      </c>
      <c r="AA18" t="b">
        <f t="shared" si="10"/>
        <v>1</v>
      </c>
      <c r="AB18" t="b">
        <f t="shared" si="11"/>
        <v>1</v>
      </c>
      <c r="AC18" t="b">
        <f t="shared" si="12"/>
        <v>1</v>
      </c>
      <c r="AD18" t="b">
        <f t="shared" si="13"/>
        <v>1</v>
      </c>
      <c r="AE18" t="b">
        <f t="shared" si="14"/>
        <v>1</v>
      </c>
      <c r="AG18" s="1">
        <v>2721800</v>
      </c>
      <c r="AH18" t="s">
        <v>523</v>
      </c>
      <c r="AI18">
        <v>560</v>
      </c>
      <c r="AJ18" t="s">
        <v>503</v>
      </c>
      <c r="AK18" s="2">
        <v>46198</v>
      </c>
      <c r="AL18" s="2">
        <v>46219</v>
      </c>
      <c r="AM18" s="3">
        <v>6</v>
      </c>
      <c r="AN18" t="s">
        <v>11</v>
      </c>
      <c r="AO18" s="3">
        <v>16200</v>
      </c>
      <c r="AP18" t="s">
        <v>525</v>
      </c>
      <c r="AR18" t="s">
        <v>505</v>
      </c>
    </row>
    <row r="19" spans="1:47" x14ac:dyDescent="0.25">
      <c r="A19" s="1">
        <v>2722516</v>
      </c>
      <c r="B19" t="s">
        <v>35</v>
      </c>
      <c r="C19">
        <v>560</v>
      </c>
      <c r="D19" t="s">
        <v>1</v>
      </c>
      <c r="E19" s="2">
        <v>46219</v>
      </c>
      <c r="F19" s="2">
        <v>46219</v>
      </c>
      <c r="G19" s="3">
        <v>1</v>
      </c>
      <c r="H19" t="s">
        <v>11</v>
      </c>
      <c r="I19" s="3">
        <v>2500</v>
      </c>
      <c r="J19" t="s">
        <v>36</v>
      </c>
      <c r="K19" t="s">
        <v>4</v>
      </c>
      <c r="L19" t="s">
        <v>37</v>
      </c>
      <c r="M19" t="s">
        <v>23</v>
      </c>
      <c r="N19" t="s">
        <v>7</v>
      </c>
      <c r="O19" t="s">
        <v>7</v>
      </c>
      <c r="Q19" t="b">
        <f t="shared" si="0"/>
        <v>1</v>
      </c>
      <c r="R19" t="b">
        <f t="shared" si="1"/>
        <v>1</v>
      </c>
      <c r="S19" t="b">
        <f t="shared" si="2"/>
        <v>1</v>
      </c>
      <c r="T19" t="b">
        <f t="shared" si="3"/>
        <v>1</v>
      </c>
      <c r="U19" t="b">
        <f t="shared" si="4"/>
        <v>1</v>
      </c>
      <c r="V19" t="b">
        <f t="shared" si="5"/>
        <v>1</v>
      </c>
      <c r="W19" t="b">
        <f t="shared" si="6"/>
        <v>1</v>
      </c>
      <c r="X19" t="b">
        <f t="shared" si="7"/>
        <v>1</v>
      </c>
      <c r="Y19" t="b">
        <f t="shared" si="8"/>
        <v>1</v>
      </c>
      <c r="Z19" t="b">
        <f t="shared" si="9"/>
        <v>1</v>
      </c>
      <c r="AA19" t="b">
        <f t="shared" si="10"/>
        <v>1</v>
      </c>
      <c r="AB19" t="b">
        <f t="shared" si="11"/>
        <v>1</v>
      </c>
      <c r="AC19" t="b">
        <f t="shared" si="12"/>
        <v>1</v>
      </c>
      <c r="AD19" t="b">
        <f t="shared" si="13"/>
        <v>1</v>
      </c>
      <c r="AE19" t="b">
        <f t="shared" si="14"/>
        <v>1</v>
      </c>
      <c r="AG19" s="1">
        <v>2722516</v>
      </c>
      <c r="AH19" t="s">
        <v>526</v>
      </c>
      <c r="AI19">
        <v>560</v>
      </c>
      <c r="AJ19" t="s">
        <v>503</v>
      </c>
      <c r="AK19" s="2">
        <v>46219</v>
      </c>
      <c r="AL19" s="2">
        <v>46219</v>
      </c>
      <c r="AM19" s="3">
        <v>1</v>
      </c>
      <c r="AN19" t="s">
        <v>11</v>
      </c>
      <c r="AO19" s="3">
        <v>2500</v>
      </c>
      <c r="AP19" t="s">
        <v>527</v>
      </c>
      <c r="AR19" t="s">
        <v>528</v>
      </c>
      <c r="AS19" t="s">
        <v>23</v>
      </c>
    </row>
    <row r="20" spans="1:47" x14ac:dyDescent="0.25">
      <c r="A20" s="1">
        <v>2724678</v>
      </c>
      <c r="B20" t="s">
        <v>38</v>
      </c>
      <c r="C20">
        <v>560</v>
      </c>
      <c r="D20" t="s">
        <v>1</v>
      </c>
      <c r="E20" s="2">
        <v>46219</v>
      </c>
      <c r="F20" s="2">
        <v>46219</v>
      </c>
      <c r="G20" s="3">
        <v>4</v>
      </c>
      <c r="H20" t="s">
        <v>20</v>
      </c>
      <c r="I20" s="3">
        <v>1900</v>
      </c>
      <c r="J20" t="s">
        <v>39</v>
      </c>
      <c r="K20" t="s">
        <v>4</v>
      </c>
      <c r="L20" t="s">
        <v>40</v>
      </c>
      <c r="M20" t="s">
        <v>6</v>
      </c>
      <c r="N20" t="s">
        <v>41</v>
      </c>
      <c r="O20" t="s">
        <v>7</v>
      </c>
      <c r="Q20" t="b">
        <f t="shared" si="0"/>
        <v>1</v>
      </c>
      <c r="R20" t="b">
        <f t="shared" si="1"/>
        <v>1</v>
      </c>
      <c r="S20" t="b">
        <f t="shared" si="2"/>
        <v>1</v>
      </c>
      <c r="T20" t="b">
        <f t="shared" si="3"/>
        <v>1</v>
      </c>
      <c r="U20" t="b">
        <f t="shared" si="4"/>
        <v>1</v>
      </c>
      <c r="V20" t="b">
        <f t="shared" si="5"/>
        <v>1</v>
      </c>
      <c r="W20" t="b">
        <f t="shared" si="6"/>
        <v>1</v>
      </c>
      <c r="X20" t="b">
        <f t="shared" si="7"/>
        <v>1</v>
      </c>
      <c r="Y20" t="b">
        <f t="shared" si="8"/>
        <v>1</v>
      </c>
      <c r="Z20" t="b">
        <f t="shared" si="9"/>
        <v>1</v>
      </c>
      <c r="AA20" t="b">
        <f t="shared" si="10"/>
        <v>1</v>
      </c>
      <c r="AB20" t="b">
        <f t="shared" si="11"/>
        <v>1</v>
      </c>
      <c r="AC20" t="b">
        <f t="shared" si="12"/>
        <v>1</v>
      </c>
      <c r="AD20" t="b">
        <f t="shared" si="13"/>
        <v>1</v>
      </c>
      <c r="AE20" t="b">
        <f t="shared" si="14"/>
        <v>1</v>
      </c>
      <c r="AG20" s="1">
        <v>2724678</v>
      </c>
      <c r="AH20" t="s">
        <v>529</v>
      </c>
      <c r="AI20">
        <v>560</v>
      </c>
      <c r="AJ20" t="s">
        <v>503</v>
      </c>
      <c r="AK20" s="2">
        <v>46219</v>
      </c>
      <c r="AL20" s="2">
        <v>46219</v>
      </c>
      <c r="AM20" s="3">
        <v>4</v>
      </c>
      <c r="AN20" t="s">
        <v>20</v>
      </c>
      <c r="AO20" s="3">
        <v>1900</v>
      </c>
      <c r="AP20" t="s">
        <v>530</v>
      </c>
      <c r="AR20" t="s">
        <v>531</v>
      </c>
      <c r="AT20" t="s">
        <v>41</v>
      </c>
    </row>
    <row r="21" spans="1:47" x14ac:dyDescent="0.25">
      <c r="A21" s="1">
        <v>2727672</v>
      </c>
      <c r="B21" t="s">
        <v>42</v>
      </c>
      <c r="C21">
        <v>560</v>
      </c>
      <c r="D21" t="s">
        <v>1</v>
      </c>
      <c r="E21" s="2">
        <v>46233</v>
      </c>
      <c r="F21" s="2">
        <v>46219</v>
      </c>
      <c r="G21" s="3">
        <v>490</v>
      </c>
      <c r="H21" t="s">
        <v>16</v>
      </c>
      <c r="I21" s="3">
        <v>490</v>
      </c>
      <c r="J21" t="s">
        <v>43</v>
      </c>
      <c r="K21" t="s">
        <v>4</v>
      </c>
      <c r="L21" t="s">
        <v>37</v>
      </c>
      <c r="M21" t="s">
        <v>23</v>
      </c>
      <c r="N21" t="s">
        <v>7</v>
      </c>
      <c r="O21" t="s">
        <v>7</v>
      </c>
      <c r="Q21" t="b">
        <f t="shared" si="0"/>
        <v>1</v>
      </c>
      <c r="R21" t="b">
        <f t="shared" si="1"/>
        <v>1</v>
      </c>
      <c r="S21" t="b">
        <f t="shared" si="2"/>
        <v>1</v>
      </c>
      <c r="T21" t="b">
        <f t="shared" si="3"/>
        <v>1</v>
      </c>
      <c r="U21" t="b">
        <f t="shared" si="4"/>
        <v>1</v>
      </c>
      <c r="V21" t="b">
        <f t="shared" si="5"/>
        <v>1</v>
      </c>
      <c r="W21" t="b">
        <f t="shared" si="6"/>
        <v>1</v>
      </c>
      <c r="X21" t="b">
        <f t="shared" si="7"/>
        <v>1</v>
      </c>
      <c r="Y21" t="b">
        <f t="shared" si="8"/>
        <v>1</v>
      </c>
      <c r="Z21" t="b">
        <f t="shared" si="9"/>
        <v>1</v>
      </c>
      <c r="AA21" t="b">
        <f t="shared" si="10"/>
        <v>1</v>
      </c>
      <c r="AB21" t="b">
        <f t="shared" si="11"/>
        <v>1</v>
      </c>
      <c r="AC21" t="b">
        <f t="shared" si="12"/>
        <v>1</v>
      </c>
      <c r="AD21" t="b">
        <f t="shared" si="13"/>
        <v>1</v>
      </c>
      <c r="AE21" t="b">
        <f t="shared" si="14"/>
        <v>1</v>
      </c>
      <c r="AG21" s="1">
        <v>2727672</v>
      </c>
      <c r="AH21" t="s">
        <v>532</v>
      </c>
      <c r="AI21">
        <v>560</v>
      </c>
      <c r="AJ21" t="s">
        <v>503</v>
      </c>
      <c r="AK21" s="2">
        <v>46233</v>
      </c>
      <c r="AL21" s="2">
        <v>46219</v>
      </c>
      <c r="AM21" s="3">
        <v>490</v>
      </c>
      <c r="AN21" t="s">
        <v>16</v>
      </c>
      <c r="AO21" s="3">
        <v>490</v>
      </c>
      <c r="AP21" t="s">
        <v>533</v>
      </c>
      <c r="AR21" t="s">
        <v>528</v>
      </c>
      <c r="AS21" t="s">
        <v>23</v>
      </c>
    </row>
    <row r="22" spans="1:47" x14ac:dyDescent="0.25">
      <c r="A22" s="1">
        <v>2727688</v>
      </c>
      <c r="B22" t="s">
        <v>44</v>
      </c>
      <c r="C22">
        <v>560</v>
      </c>
      <c r="D22" t="s">
        <v>1</v>
      </c>
      <c r="E22" s="2">
        <v>46199</v>
      </c>
      <c r="F22" s="2">
        <v>46219</v>
      </c>
      <c r="G22" s="3">
        <v>3</v>
      </c>
      <c r="H22" t="s">
        <v>11</v>
      </c>
      <c r="I22" s="3">
        <v>6600</v>
      </c>
      <c r="J22" t="s">
        <v>45</v>
      </c>
      <c r="K22" t="s">
        <v>4</v>
      </c>
      <c r="L22" t="s">
        <v>40</v>
      </c>
      <c r="M22" t="s">
        <v>6</v>
      </c>
      <c r="N22" t="s">
        <v>7</v>
      </c>
      <c r="O22" t="s">
        <v>7</v>
      </c>
      <c r="Q22" t="b">
        <f t="shared" si="0"/>
        <v>1</v>
      </c>
      <c r="R22" t="b">
        <f t="shared" si="1"/>
        <v>1</v>
      </c>
      <c r="S22" t="b">
        <f t="shared" si="2"/>
        <v>1</v>
      </c>
      <c r="T22" t="b">
        <f t="shared" si="3"/>
        <v>1</v>
      </c>
      <c r="U22" t="b">
        <f t="shared" si="4"/>
        <v>1</v>
      </c>
      <c r="V22" t="b">
        <f t="shared" si="5"/>
        <v>1</v>
      </c>
      <c r="W22" t="b">
        <f t="shared" si="6"/>
        <v>1</v>
      </c>
      <c r="X22" t="b">
        <f t="shared" si="7"/>
        <v>1</v>
      </c>
      <c r="Y22" t="b">
        <f t="shared" si="8"/>
        <v>1</v>
      </c>
      <c r="Z22" t="b">
        <f t="shared" si="9"/>
        <v>1</v>
      </c>
      <c r="AA22" t="b">
        <f t="shared" si="10"/>
        <v>1</v>
      </c>
      <c r="AB22" t="b">
        <f t="shared" si="11"/>
        <v>1</v>
      </c>
      <c r="AC22" t="b">
        <f t="shared" si="12"/>
        <v>1</v>
      </c>
      <c r="AD22" t="b">
        <f t="shared" si="13"/>
        <v>1</v>
      </c>
      <c r="AE22" t="b">
        <f t="shared" si="14"/>
        <v>1</v>
      </c>
      <c r="AG22" s="1">
        <v>2727688</v>
      </c>
      <c r="AH22" t="s">
        <v>534</v>
      </c>
      <c r="AI22">
        <v>560</v>
      </c>
      <c r="AJ22" t="s">
        <v>503</v>
      </c>
      <c r="AK22" s="2">
        <v>46199</v>
      </c>
      <c r="AL22" s="2">
        <v>46219</v>
      </c>
      <c r="AM22" s="3">
        <v>3</v>
      </c>
      <c r="AN22" t="s">
        <v>11</v>
      </c>
      <c r="AO22" s="3">
        <v>6600</v>
      </c>
      <c r="AP22" t="s">
        <v>535</v>
      </c>
      <c r="AR22" t="s">
        <v>531</v>
      </c>
    </row>
    <row r="23" spans="1:47" x14ac:dyDescent="0.25">
      <c r="A23" s="1">
        <v>2729124</v>
      </c>
      <c r="B23" t="s">
        <v>46</v>
      </c>
      <c r="C23">
        <v>560</v>
      </c>
      <c r="D23" t="s">
        <v>1</v>
      </c>
      <c r="E23" s="2">
        <v>46199</v>
      </c>
      <c r="F23" s="2">
        <v>46219</v>
      </c>
      <c r="G23" s="3">
        <v>4110</v>
      </c>
      <c r="H23" t="s">
        <v>16</v>
      </c>
      <c r="I23" s="3">
        <v>4110</v>
      </c>
      <c r="J23" t="s">
        <v>47</v>
      </c>
      <c r="K23" t="s">
        <v>4</v>
      </c>
      <c r="L23" t="s">
        <v>48</v>
      </c>
      <c r="M23" t="s">
        <v>6</v>
      </c>
      <c r="N23" t="s">
        <v>7</v>
      </c>
      <c r="O23" t="s">
        <v>49</v>
      </c>
      <c r="Q23" t="b">
        <f t="shared" si="0"/>
        <v>1</v>
      </c>
      <c r="R23" t="b">
        <f t="shared" si="1"/>
        <v>1</v>
      </c>
      <c r="S23" t="b">
        <f t="shared" si="2"/>
        <v>1</v>
      </c>
      <c r="T23" t="b">
        <f t="shared" si="3"/>
        <v>1</v>
      </c>
      <c r="U23" t="b">
        <f t="shared" si="4"/>
        <v>1</v>
      </c>
      <c r="V23" t="b">
        <f t="shared" si="5"/>
        <v>1</v>
      </c>
      <c r="W23" t="b">
        <f t="shared" si="6"/>
        <v>1</v>
      </c>
      <c r="X23" t="b">
        <f t="shared" si="7"/>
        <v>1</v>
      </c>
      <c r="Y23" t="b">
        <f t="shared" si="8"/>
        <v>1</v>
      </c>
      <c r="Z23" t="b">
        <f t="shared" si="9"/>
        <v>1</v>
      </c>
      <c r="AA23" t="b">
        <f t="shared" si="10"/>
        <v>1</v>
      </c>
      <c r="AB23" t="b">
        <f t="shared" si="11"/>
        <v>1</v>
      </c>
      <c r="AC23" t="b">
        <f t="shared" si="12"/>
        <v>1</v>
      </c>
      <c r="AD23" t="b">
        <f t="shared" si="13"/>
        <v>1</v>
      </c>
      <c r="AE23" t="b">
        <f t="shared" si="14"/>
        <v>1</v>
      </c>
      <c r="AG23" s="1">
        <v>2729124</v>
      </c>
      <c r="AH23" t="s">
        <v>536</v>
      </c>
      <c r="AI23">
        <v>560</v>
      </c>
      <c r="AJ23" t="s">
        <v>503</v>
      </c>
      <c r="AK23" s="2">
        <v>46199</v>
      </c>
      <c r="AL23" s="2">
        <v>46219</v>
      </c>
      <c r="AM23" s="3">
        <v>4110</v>
      </c>
      <c r="AN23" t="s">
        <v>16</v>
      </c>
      <c r="AO23" s="3">
        <v>4110</v>
      </c>
      <c r="AP23" t="s">
        <v>537</v>
      </c>
      <c r="AR23" t="s">
        <v>538</v>
      </c>
      <c r="AU23" t="s">
        <v>49</v>
      </c>
    </row>
    <row r="24" spans="1:47" x14ac:dyDescent="0.25">
      <c r="A24" s="1">
        <v>2729189</v>
      </c>
      <c r="B24" t="s">
        <v>50</v>
      </c>
      <c r="C24">
        <v>560</v>
      </c>
      <c r="D24" t="s">
        <v>1</v>
      </c>
      <c r="E24" s="2">
        <v>46198</v>
      </c>
      <c r="F24" s="2">
        <v>46219</v>
      </c>
      <c r="G24" s="3">
        <v>4</v>
      </c>
      <c r="H24" t="s">
        <v>51</v>
      </c>
      <c r="I24" s="3">
        <v>3840</v>
      </c>
      <c r="J24" t="s">
        <v>52</v>
      </c>
      <c r="K24" t="s">
        <v>4</v>
      </c>
      <c r="L24" t="s">
        <v>37</v>
      </c>
      <c r="M24" t="s">
        <v>23</v>
      </c>
      <c r="N24" t="s">
        <v>7</v>
      </c>
      <c r="O24" t="s">
        <v>53</v>
      </c>
      <c r="Q24" t="b">
        <f t="shared" si="0"/>
        <v>1</v>
      </c>
      <c r="R24" t="b">
        <f t="shared" si="1"/>
        <v>1</v>
      </c>
      <c r="S24" t="b">
        <f t="shared" si="2"/>
        <v>1</v>
      </c>
      <c r="T24" t="b">
        <f t="shared" si="3"/>
        <v>1</v>
      </c>
      <c r="U24" t="b">
        <f t="shared" si="4"/>
        <v>1</v>
      </c>
      <c r="V24" t="b">
        <f t="shared" si="5"/>
        <v>1</v>
      </c>
      <c r="W24" t="b">
        <f t="shared" si="6"/>
        <v>1</v>
      </c>
      <c r="X24" t="b">
        <f t="shared" si="7"/>
        <v>1</v>
      </c>
      <c r="Y24" t="b">
        <f t="shared" si="8"/>
        <v>1</v>
      </c>
      <c r="Z24" t="b">
        <f t="shared" si="9"/>
        <v>1</v>
      </c>
      <c r="AA24" t="b">
        <f t="shared" si="10"/>
        <v>1</v>
      </c>
      <c r="AB24" t="b">
        <f t="shared" si="11"/>
        <v>1</v>
      </c>
      <c r="AC24" t="b">
        <f t="shared" si="12"/>
        <v>1</v>
      </c>
      <c r="AD24" t="b">
        <f t="shared" si="13"/>
        <v>1</v>
      </c>
      <c r="AE24" t="b">
        <f t="shared" si="14"/>
        <v>1</v>
      </c>
      <c r="AG24" s="1">
        <v>2729189</v>
      </c>
      <c r="AH24" t="s">
        <v>539</v>
      </c>
      <c r="AI24">
        <v>560</v>
      </c>
      <c r="AJ24" t="s">
        <v>503</v>
      </c>
      <c r="AK24" s="2">
        <v>46198</v>
      </c>
      <c r="AL24" s="2">
        <v>46219</v>
      </c>
      <c r="AM24" s="3">
        <v>4</v>
      </c>
      <c r="AN24" t="s">
        <v>51</v>
      </c>
      <c r="AO24" s="3">
        <v>3840</v>
      </c>
      <c r="AP24" t="s">
        <v>540</v>
      </c>
      <c r="AR24" t="s">
        <v>528</v>
      </c>
      <c r="AS24" t="s">
        <v>23</v>
      </c>
      <c r="AU24" t="s">
        <v>541</v>
      </c>
    </row>
    <row r="25" spans="1:47" x14ac:dyDescent="0.25">
      <c r="A25" s="1">
        <v>2729189</v>
      </c>
      <c r="B25" t="s">
        <v>50</v>
      </c>
      <c r="C25">
        <v>560</v>
      </c>
      <c r="D25" t="s">
        <v>1</v>
      </c>
      <c r="E25" s="2">
        <v>46198</v>
      </c>
      <c r="F25" s="2">
        <v>46219</v>
      </c>
      <c r="G25" s="3">
        <v>1</v>
      </c>
      <c r="H25" t="s">
        <v>51</v>
      </c>
      <c r="I25" s="3">
        <v>1056</v>
      </c>
      <c r="J25" t="s">
        <v>54</v>
      </c>
      <c r="K25" t="s">
        <v>4</v>
      </c>
      <c r="L25" t="s">
        <v>37</v>
      </c>
      <c r="M25" t="s">
        <v>23</v>
      </c>
      <c r="N25" t="s">
        <v>7</v>
      </c>
      <c r="O25" t="s">
        <v>53</v>
      </c>
      <c r="Q25" t="b">
        <f t="shared" si="0"/>
        <v>1</v>
      </c>
      <c r="R25" t="b">
        <f t="shared" si="1"/>
        <v>1</v>
      </c>
      <c r="S25" t="b">
        <f t="shared" si="2"/>
        <v>1</v>
      </c>
      <c r="T25" t="b">
        <f t="shared" si="3"/>
        <v>1</v>
      </c>
      <c r="U25" t="b">
        <f t="shared" si="4"/>
        <v>1</v>
      </c>
      <c r="V25" t="b">
        <f t="shared" si="5"/>
        <v>1</v>
      </c>
      <c r="W25" t="b">
        <f t="shared" si="6"/>
        <v>1</v>
      </c>
      <c r="X25" t="b">
        <f t="shared" si="7"/>
        <v>1</v>
      </c>
      <c r="Y25" t="b">
        <f t="shared" si="8"/>
        <v>1</v>
      </c>
      <c r="Z25" t="b">
        <f t="shared" si="9"/>
        <v>1</v>
      </c>
      <c r="AA25" t="b">
        <f t="shared" si="10"/>
        <v>1</v>
      </c>
      <c r="AB25" t="b">
        <f t="shared" si="11"/>
        <v>1</v>
      </c>
      <c r="AC25" t="b">
        <f t="shared" si="12"/>
        <v>1</v>
      </c>
      <c r="AD25" t="b">
        <f t="shared" si="13"/>
        <v>1</v>
      </c>
      <c r="AE25" t="b">
        <f t="shared" si="14"/>
        <v>1</v>
      </c>
      <c r="AG25" s="1">
        <v>2729189</v>
      </c>
      <c r="AH25" t="s">
        <v>539</v>
      </c>
      <c r="AI25">
        <v>560</v>
      </c>
      <c r="AJ25" t="s">
        <v>503</v>
      </c>
      <c r="AK25" s="2">
        <v>46198</v>
      </c>
      <c r="AL25" s="2">
        <v>46219</v>
      </c>
      <c r="AM25" s="3">
        <v>1</v>
      </c>
      <c r="AN25" t="s">
        <v>51</v>
      </c>
      <c r="AO25" s="3">
        <v>1056</v>
      </c>
      <c r="AP25" t="s">
        <v>542</v>
      </c>
      <c r="AR25" t="s">
        <v>528</v>
      </c>
      <c r="AS25" t="s">
        <v>23</v>
      </c>
      <c r="AU25" t="s">
        <v>541</v>
      </c>
    </row>
    <row r="26" spans="1:47" x14ac:dyDescent="0.25">
      <c r="A26" s="1">
        <v>2729189</v>
      </c>
      <c r="B26" t="s">
        <v>50</v>
      </c>
      <c r="C26">
        <v>560</v>
      </c>
      <c r="D26" t="s">
        <v>1</v>
      </c>
      <c r="E26" s="2">
        <v>46198</v>
      </c>
      <c r="F26" s="2">
        <v>46219</v>
      </c>
      <c r="G26" s="3">
        <v>1</v>
      </c>
      <c r="H26" t="s">
        <v>51</v>
      </c>
      <c r="I26" s="3">
        <v>1056</v>
      </c>
      <c r="J26" t="s">
        <v>55</v>
      </c>
      <c r="K26" t="s">
        <v>4</v>
      </c>
      <c r="L26" t="s">
        <v>37</v>
      </c>
      <c r="M26" t="s">
        <v>23</v>
      </c>
      <c r="N26" t="s">
        <v>7</v>
      </c>
      <c r="O26" t="s">
        <v>53</v>
      </c>
      <c r="Q26" t="b">
        <f t="shared" si="0"/>
        <v>1</v>
      </c>
      <c r="R26" t="b">
        <f t="shared" si="1"/>
        <v>1</v>
      </c>
      <c r="S26" t="b">
        <f t="shared" si="2"/>
        <v>1</v>
      </c>
      <c r="T26" t="b">
        <f t="shared" si="3"/>
        <v>1</v>
      </c>
      <c r="U26" t="b">
        <f t="shared" si="4"/>
        <v>1</v>
      </c>
      <c r="V26" t="b">
        <f t="shared" si="5"/>
        <v>1</v>
      </c>
      <c r="W26" t="b">
        <f t="shared" si="6"/>
        <v>1</v>
      </c>
      <c r="X26" t="b">
        <f t="shared" si="7"/>
        <v>1</v>
      </c>
      <c r="Y26" t="b">
        <f t="shared" si="8"/>
        <v>1</v>
      </c>
      <c r="Z26" t="b">
        <f t="shared" si="9"/>
        <v>1</v>
      </c>
      <c r="AA26" t="b">
        <f t="shared" si="10"/>
        <v>1</v>
      </c>
      <c r="AB26" t="b">
        <f t="shared" si="11"/>
        <v>1</v>
      </c>
      <c r="AC26" t="b">
        <f t="shared" si="12"/>
        <v>1</v>
      </c>
      <c r="AD26" t="b">
        <f t="shared" si="13"/>
        <v>1</v>
      </c>
      <c r="AE26" t="b">
        <f t="shared" si="14"/>
        <v>1</v>
      </c>
      <c r="AG26" s="1">
        <v>2729189</v>
      </c>
      <c r="AH26" t="s">
        <v>539</v>
      </c>
      <c r="AI26">
        <v>560</v>
      </c>
      <c r="AJ26" t="s">
        <v>503</v>
      </c>
      <c r="AK26" s="2">
        <v>46198</v>
      </c>
      <c r="AL26" s="2">
        <v>46219</v>
      </c>
      <c r="AM26" s="3">
        <v>1</v>
      </c>
      <c r="AN26" t="s">
        <v>51</v>
      </c>
      <c r="AO26" s="3">
        <v>1056</v>
      </c>
      <c r="AP26" t="s">
        <v>543</v>
      </c>
      <c r="AR26" t="s">
        <v>528</v>
      </c>
      <c r="AS26" t="s">
        <v>23</v>
      </c>
      <c r="AU26" t="s">
        <v>541</v>
      </c>
    </row>
    <row r="27" spans="1:47" x14ac:dyDescent="0.25">
      <c r="A27" s="1">
        <v>2729931</v>
      </c>
      <c r="B27" t="s">
        <v>26</v>
      </c>
      <c r="C27">
        <v>540</v>
      </c>
      <c r="D27" t="s">
        <v>1</v>
      </c>
      <c r="E27" s="2">
        <v>46209</v>
      </c>
      <c r="F27" s="2">
        <v>46219</v>
      </c>
      <c r="G27" s="3">
        <v>12</v>
      </c>
      <c r="H27" t="s">
        <v>20</v>
      </c>
      <c r="I27" s="3">
        <v>5400</v>
      </c>
      <c r="J27" t="s">
        <v>56</v>
      </c>
      <c r="K27" t="s">
        <v>29</v>
      </c>
      <c r="L27" t="s">
        <v>30</v>
      </c>
      <c r="M27" t="s">
        <v>6</v>
      </c>
      <c r="N27" t="s">
        <v>7</v>
      </c>
      <c r="O27" t="s">
        <v>31</v>
      </c>
      <c r="Q27" t="b">
        <f t="shared" si="0"/>
        <v>1</v>
      </c>
      <c r="R27" t="b">
        <f t="shared" si="1"/>
        <v>1</v>
      </c>
      <c r="S27" t="b">
        <f t="shared" si="2"/>
        <v>1</v>
      </c>
      <c r="T27" t="b">
        <f t="shared" si="3"/>
        <v>1</v>
      </c>
      <c r="U27" t="b">
        <f t="shared" si="4"/>
        <v>1</v>
      </c>
      <c r="V27" t="b">
        <f t="shared" si="5"/>
        <v>1</v>
      </c>
      <c r="W27" t="b">
        <f t="shared" si="6"/>
        <v>1</v>
      </c>
      <c r="X27" t="b">
        <f t="shared" si="7"/>
        <v>1</v>
      </c>
      <c r="Y27" t="b">
        <f t="shared" si="8"/>
        <v>1</v>
      </c>
      <c r="Z27" t="b">
        <f t="shared" si="9"/>
        <v>1</v>
      </c>
      <c r="AA27" t="b">
        <f t="shared" si="10"/>
        <v>1</v>
      </c>
      <c r="AB27" t="b">
        <f t="shared" si="11"/>
        <v>1</v>
      </c>
      <c r="AC27" t="b">
        <f t="shared" si="12"/>
        <v>1</v>
      </c>
      <c r="AD27" t="b">
        <f t="shared" si="13"/>
        <v>1</v>
      </c>
      <c r="AE27" t="b">
        <f t="shared" si="14"/>
        <v>1</v>
      </c>
      <c r="AG27" s="1">
        <v>2729931</v>
      </c>
      <c r="AH27" t="s">
        <v>519</v>
      </c>
      <c r="AI27">
        <v>540</v>
      </c>
      <c r="AJ27" t="s">
        <v>503</v>
      </c>
      <c r="AK27" s="2">
        <v>46209</v>
      </c>
      <c r="AL27" s="2">
        <v>46219</v>
      </c>
      <c r="AM27" s="3">
        <v>12</v>
      </c>
      <c r="AN27" t="s">
        <v>20</v>
      </c>
      <c r="AO27" s="3">
        <v>5400</v>
      </c>
      <c r="AP27" t="s">
        <v>544</v>
      </c>
      <c r="AQ27" t="s">
        <v>29</v>
      </c>
      <c r="AR27" t="s">
        <v>521</v>
      </c>
      <c r="AU27" t="s">
        <v>522</v>
      </c>
    </row>
    <row r="28" spans="1:47" x14ac:dyDescent="0.25">
      <c r="A28" s="1">
        <v>2732150</v>
      </c>
      <c r="B28" t="s">
        <v>57</v>
      </c>
      <c r="C28">
        <v>550</v>
      </c>
      <c r="D28" t="s">
        <v>1</v>
      </c>
      <c r="E28" s="2">
        <v>46203</v>
      </c>
      <c r="F28" s="2">
        <v>46219</v>
      </c>
      <c r="G28" s="3">
        <v>2</v>
      </c>
      <c r="H28" t="s">
        <v>20</v>
      </c>
      <c r="I28" s="3">
        <v>900</v>
      </c>
      <c r="J28" t="s">
        <v>58</v>
      </c>
      <c r="K28" t="s">
        <v>4</v>
      </c>
      <c r="L28" t="s">
        <v>59</v>
      </c>
      <c r="M28" t="s">
        <v>6</v>
      </c>
      <c r="N28" t="s">
        <v>60</v>
      </c>
      <c r="O28" t="s">
        <v>7</v>
      </c>
      <c r="Q28" t="b">
        <f t="shared" si="0"/>
        <v>1</v>
      </c>
      <c r="R28" t="b">
        <f t="shared" si="1"/>
        <v>1</v>
      </c>
      <c r="S28" t="b">
        <f t="shared" si="2"/>
        <v>1</v>
      </c>
      <c r="T28" t="b">
        <f t="shared" si="3"/>
        <v>1</v>
      </c>
      <c r="U28" t="b">
        <f t="shared" si="4"/>
        <v>1</v>
      </c>
      <c r="V28" t="b">
        <f t="shared" si="5"/>
        <v>1</v>
      </c>
      <c r="W28" t="b">
        <f t="shared" si="6"/>
        <v>1</v>
      </c>
      <c r="X28" t="b">
        <f t="shared" si="7"/>
        <v>1</v>
      </c>
      <c r="Y28" t="b">
        <f t="shared" si="8"/>
        <v>1</v>
      </c>
      <c r="Z28" t="b">
        <f t="shared" si="9"/>
        <v>1</v>
      </c>
      <c r="AA28" t="b">
        <f t="shared" si="10"/>
        <v>1</v>
      </c>
      <c r="AB28" t="b">
        <f t="shared" si="11"/>
        <v>1</v>
      </c>
      <c r="AC28" t="b">
        <f t="shared" si="12"/>
        <v>1</v>
      </c>
      <c r="AD28" t="b">
        <f t="shared" si="13"/>
        <v>1</v>
      </c>
      <c r="AE28" t="b">
        <f t="shared" si="14"/>
        <v>1</v>
      </c>
      <c r="AG28" s="1">
        <v>2732150</v>
      </c>
      <c r="AH28" t="s">
        <v>545</v>
      </c>
      <c r="AI28">
        <v>550</v>
      </c>
      <c r="AJ28" t="s">
        <v>503</v>
      </c>
      <c r="AK28" s="2">
        <v>46203</v>
      </c>
      <c r="AL28" s="2">
        <v>46219</v>
      </c>
      <c r="AM28" s="3">
        <v>2</v>
      </c>
      <c r="AN28" t="s">
        <v>20</v>
      </c>
      <c r="AO28" s="3">
        <v>900</v>
      </c>
      <c r="AP28" t="s">
        <v>546</v>
      </c>
      <c r="AR28" t="s">
        <v>547</v>
      </c>
      <c r="AT28" t="s">
        <v>548</v>
      </c>
    </row>
    <row r="29" spans="1:47" x14ac:dyDescent="0.25">
      <c r="A29" s="1">
        <v>2733766</v>
      </c>
      <c r="B29" t="s">
        <v>61</v>
      </c>
      <c r="C29">
        <v>560</v>
      </c>
      <c r="D29" t="s">
        <v>1</v>
      </c>
      <c r="E29" s="2">
        <v>46219</v>
      </c>
      <c r="F29" s="2">
        <v>46219</v>
      </c>
      <c r="G29" s="3">
        <v>3</v>
      </c>
      <c r="H29" t="s">
        <v>11</v>
      </c>
      <c r="I29" s="3">
        <v>7800</v>
      </c>
      <c r="J29" t="s">
        <v>62</v>
      </c>
      <c r="K29" t="s">
        <v>4</v>
      </c>
      <c r="L29" t="s">
        <v>40</v>
      </c>
      <c r="M29" t="s">
        <v>6</v>
      </c>
      <c r="N29" t="s">
        <v>7</v>
      </c>
      <c r="O29" t="s">
        <v>7</v>
      </c>
      <c r="Q29" t="b">
        <f t="shared" si="0"/>
        <v>1</v>
      </c>
      <c r="R29" t="b">
        <f t="shared" si="1"/>
        <v>1</v>
      </c>
      <c r="S29" t="b">
        <f t="shared" si="2"/>
        <v>1</v>
      </c>
      <c r="T29" t="b">
        <f t="shared" si="3"/>
        <v>1</v>
      </c>
      <c r="U29" t="b">
        <f t="shared" si="4"/>
        <v>1</v>
      </c>
      <c r="V29" t="b">
        <f t="shared" si="5"/>
        <v>1</v>
      </c>
      <c r="W29" t="b">
        <f t="shared" si="6"/>
        <v>1</v>
      </c>
      <c r="X29" t="b">
        <f t="shared" si="7"/>
        <v>1</v>
      </c>
      <c r="Y29" t="b">
        <f t="shared" si="8"/>
        <v>1</v>
      </c>
      <c r="Z29" t="b">
        <f t="shared" si="9"/>
        <v>1</v>
      </c>
      <c r="AA29" t="b">
        <f t="shared" si="10"/>
        <v>1</v>
      </c>
      <c r="AB29" t="b">
        <f t="shared" si="11"/>
        <v>1</v>
      </c>
      <c r="AC29" t="b">
        <f t="shared" si="12"/>
        <v>1</v>
      </c>
      <c r="AD29" t="b">
        <f t="shared" si="13"/>
        <v>1</v>
      </c>
      <c r="AE29" t="b">
        <f t="shared" si="14"/>
        <v>1</v>
      </c>
      <c r="AG29" s="1">
        <v>2733766</v>
      </c>
      <c r="AH29" t="s">
        <v>549</v>
      </c>
      <c r="AI29">
        <v>560</v>
      </c>
      <c r="AJ29" t="s">
        <v>503</v>
      </c>
      <c r="AK29" s="2">
        <v>46219</v>
      </c>
      <c r="AL29" s="2">
        <v>46219</v>
      </c>
      <c r="AM29" s="3">
        <v>3</v>
      </c>
      <c r="AN29" t="s">
        <v>11</v>
      </c>
      <c r="AO29" s="3">
        <v>7800</v>
      </c>
      <c r="AP29" t="s">
        <v>550</v>
      </c>
      <c r="AR29" t="s">
        <v>531</v>
      </c>
    </row>
    <row r="30" spans="1:47" x14ac:dyDescent="0.25">
      <c r="A30" s="1">
        <v>2734582</v>
      </c>
      <c r="B30" t="s">
        <v>63</v>
      </c>
      <c r="C30">
        <v>560</v>
      </c>
      <c r="D30" t="s">
        <v>1</v>
      </c>
      <c r="E30" s="2">
        <v>46218</v>
      </c>
      <c r="F30" s="2">
        <v>46219</v>
      </c>
      <c r="G30" s="3">
        <v>72</v>
      </c>
      <c r="H30" t="s">
        <v>20</v>
      </c>
      <c r="I30" s="3">
        <v>0</v>
      </c>
      <c r="J30" t="s">
        <v>64</v>
      </c>
      <c r="K30" t="s">
        <v>4</v>
      </c>
      <c r="L30" t="s">
        <v>22</v>
      </c>
      <c r="M30" t="s">
        <v>23</v>
      </c>
      <c r="N30" t="s">
        <v>7</v>
      </c>
      <c r="O30" t="s">
        <v>65</v>
      </c>
      <c r="Q30" t="b">
        <f t="shared" si="0"/>
        <v>1</v>
      </c>
      <c r="R30" t="b">
        <f t="shared" si="1"/>
        <v>1</v>
      </c>
      <c r="S30" t="b">
        <f t="shared" si="2"/>
        <v>1</v>
      </c>
      <c r="T30" t="b">
        <f t="shared" si="3"/>
        <v>1</v>
      </c>
      <c r="U30" t="b">
        <f t="shared" si="4"/>
        <v>1</v>
      </c>
      <c r="V30" t="b">
        <f t="shared" si="5"/>
        <v>1</v>
      </c>
      <c r="W30" t="b">
        <f t="shared" si="6"/>
        <v>1</v>
      </c>
      <c r="X30" t="b">
        <f t="shared" si="7"/>
        <v>1</v>
      </c>
      <c r="Y30" t="b">
        <f t="shared" si="8"/>
        <v>1</v>
      </c>
      <c r="Z30" t="b">
        <f t="shared" si="9"/>
        <v>1</v>
      </c>
      <c r="AA30" t="b">
        <f t="shared" si="10"/>
        <v>1</v>
      </c>
      <c r="AB30" t="b">
        <f t="shared" si="11"/>
        <v>1</v>
      </c>
      <c r="AC30" t="b">
        <f t="shared" si="12"/>
        <v>1</v>
      </c>
      <c r="AD30" t="b">
        <f t="shared" si="13"/>
        <v>1</v>
      </c>
      <c r="AE30" t="b">
        <f t="shared" si="14"/>
        <v>1</v>
      </c>
      <c r="AG30" s="1">
        <v>2734582</v>
      </c>
      <c r="AH30" t="s">
        <v>551</v>
      </c>
      <c r="AI30">
        <v>560</v>
      </c>
      <c r="AJ30" t="s">
        <v>503</v>
      </c>
      <c r="AK30" s="2">
        <v>46218</v>
      </c>
      <c r="AL30" s="2">
        <v>46219</v>
      </c>
      <c r="AM30" s="3">
        <v>72</v>
      </c>
      <c r="AN30" t="s">
        <v>20</v>
      </c>
      <c r="AO30" s="3">
        <v>0</v>
      </c>
      <c r="AP30" t="s">
        <v>552</v>
      </c>
      <c r="AR30" t="s">
        <v>516</v>
      </c>
      <c r="AS30" t="s">
        <v>23</v>
      </c>
      <c r="AU30" t="s">
        <v>553</v>
      </c>
    </row>
    <row r="31" spans="1:47" x14ac:dyDescent="0.25">
      <c r="A31" s="1">
        <v>2738132</v>
      </c>
      <c r="B31" t="s">
        <v>66</v>
      </c>
      <c r="C31">
        <v>550</v>
      </c>
      <c r="D31" t="s">
        <v>15</v>
      </c>
      <c r="E31" s="2">
        <v>46216</v>
      </c>
      <c r="F31" s="2">
        <v>46219</v>
      </c>
      <c r="G31" s="3">
        <v>35000</v>
      </c>
      <c r="H31" t="s">
        <v>16</v>
      </c>
      <c r="I31" s="3">
        <v>35000</v>
      </c>
      <c r="J31" t="s">
        <v>67</v>
      </c>
      <c r="K31" t="s">
        <v>4</v>
      </c>
      <c r="L31" t="s">
        <v>5</v>
      </c>
      <c r="M31" t="s">
        <v>6</v>
      </c>
      <c r="N31" t="s">
        <v>7</v>
      </c>
      <c r="O31" t="s">
        <v>68</v>
      </c>
      <c r="Q31" t="b">
        <f t="shared" si="0"/>
        <v>1</v>
      </c>
      <c r="R31" t="b">
        <f t="shared" si="1"/>
        <v>1</v>
      </c>
      <c r="S31" t="b">
        <f t="shared" si="2"/>
        <v>1</v>
      </c>
      <c r="T31" t="b">
        <f t="shared" si="3"/>
        <v>1</v>
      </c>
      <c r="U31" t="b">
        <f t="shared" si="4"/>
        <v>1</v>
      </c>
      <c r="V31" t="b">
        <f t="shared" si="5"/>
        <v>1</v>
      </c>
      <c r="W31" t="b">
        <f t="shared" si="6"/>
        <v>1</v>
      </c>
      <c r="X31" t="b">
        <f t="shared" si="7"/>
        <v>1</v>
      </c>
      <c r="Y31" t="b">
        <f t="shared" si="8"/>
        <v>1</v>
      </c>
      <c r="Z31" t="b">
        <f t="shared" si="9"/>
        <v>1</v>
      </c>
      <c r="AA31" t="b">
        <f t="shared" si="10"/>
        <v>1</v>
      </c>
      <c r="AB31" t="b">
        <f t="shared" si="11"/>
        <v>1</v>
      </c>
      <c r="AC31" t="b">
        <f t="shared" si="12"/>
        <v>1</v>
      </c>
      <c r="AD31" t="b">
        <f t="shared" si="13"/>
        <v>1</v>
      </c>
      <c r="AE31" t="b">
        <f t="shared" si="14"/>
        <v>1</v>
      </c>
      <c r="AG31" s="1">
        <v>2738132</v>
      </c>
      <c r="AH31" t="s">
        <v>554</v>
      </c>
      <c r="AI31">
        <v>550</v>
      </c>
      <c r="AJ31" t="s">
        <v>511</v>
      </c>
      <c r="AK31" s="2">
        <v>46216</v>
      </c>
      <c r="AL31" s="2">
        <v>46219</v>
      </c>
      <c r="AM31" s="3">
        <v>35000</v>
      </c>
      <c r="AN31" t="s">
        <v>16</v>
      </c>
      <c r="AO31" s="3">
        <v>35000</v>
      </c>
      <c r="AP31" t="s">
        <v>555</v>
      </c>
      <c r="AR31" t="s">
        <v>505</v>
      </c>
      <c r="AU31" t="s">
        <v>556</v>
      </c>
    </row>
    <row r="32" spans="1:47" x14ac:dyDescent="0.25">
      <c r="A32" s="1">
        <v>2738277</v>
      </c>
      <c r="B32" t="s">
        <v>69</v>
      </c>
      <c r="C32">
        <v>560</v>
      </c>
      <c r="D32" t="s">
        <v>1</v>
      </c>
      <c r="E32" s="2">
        <v>46219</v>
      </c>
      <c r="F32" s="2">
        <v>46219</v>
      </c>
      <c r="G32" s="3">
        <v>6</v>
      </c>
      <c r="H32" t="s">
        <v>20</v>
      </c>
      <c r="I32" s="3">
        <v>2850</v>
      </c>
      <c r="J32" t="s">
        <v>70</v>
      </c>
      <c r="K32" t="s">
        <v>4</v>
      </c>
      <c r="L32" t="s">
        <v>37</v>
      </c>
      <c r="M32" t="s">
        <v>23</v>
      </c>
      <c r="N32" t="s">
        <v>71</v>
      </c>
      <c r="O32" t="s">
        <v>7</v>
      </c>
      <c r="Q32" t="b">
        <f t="shared" si="0"/>
        <v>1</v>
      </c>
      <c r="R32" t="b">
        <f t="shared" si="1"/>
        <v>1</v>
      </c>
      <c r="S32" t="b">
        <f t="shared" si="2"/>
        <v>1</v>
      </c>
      <c r="T32" t="b">
        <f t="shared" si="3"/>
        <v>1</v>
      </c>
      <c r="U32" t="b">
        <f t="shared" si="4"/>
        <v>1</v>
      </c>
      <c r="V32" t="b">
        <f t="shared" si="5"/>
        <v>1</v>
      </c>
      <c r="W32" t="b">
        <f t="shared" si="6"/>
        <v>1</v>
      </c>
      <c r="X32" t="b">
        <f t="shared" si="7"/>
        <v>1</v>
      </c>
      <c r="Y32" t="b">
        <f t="shared" si="8"/>
        <v>1</v>
      </c>
      <c r="Z32" t="b">
        <f t="shared" si="9"/>
        <v>1</v>
      </c>
      <c r="AA32" t="b">
        <f t="shared" si="10"/>
        <v>1</v>
      </c>
      <c r="AB32" t="b">
        <f t="shared" si="11"/>
        <v>1</v>
      </c>
      <c r="AC32" t="b">
        <f t="shared" si="12"/>
        <v>1</v>
      </c>
      <c r="AD32" t="b">
        <f t="shared" si="13"/>
        <v>1</v>
      </c>
      <c r="AE32" t="b">
        <f t="shared" si="14"/>
        <v>1</v>
      </c>
      <c r="AG32" s="1">
        <v>2738277</v>
      </c>
      <c r="AH32" t="s">
        <v>557</v>
      </c>
      <c r="AI32">
        <v>560</v>
      </c>
      <c r="AJ32" t="s">
        <v>503</v>
      </c>
      <c r="AK32" s="2">
        <v>46219</v>
      </c>
      <c r="AL32" s="2">
        <v>46219</v>
      </c>
      <c r="AM32" s="3">
        <v>6</v>
      </c>
      <c r="AN32" t="s">
        <v>20</v>
      </c>
      <c r="AO32" s="3">
        <v>2850</v>
      </c>
      <c r="AP32" t="s">
        <v>558</v>
      </c>
      <c r="AR32" t="s">
        <v>528</v>
      </c>
      <c r="AS32" t="s">
        <v>23</v>
      </c>
      <c r="AT32" t="s">
        <v>559</v>
      </c>
    </row>
    <row r="33" spans="1:47" x14ac:dyDescent="0.25">
      <c r="A33" s="1">
        <v>2738277</v>
      </c>
      <c r="B33" t="s">
        <v>69</v>
      </c>
      <c r="C33">
        <v>560</v>
      </c>
      <c r="D33" t="s">
        <v>1</v>
      </c>
      <c r="E33" s="2">
        <v>46219</v>
      </c>
      <c r="F33" s="2">
        <v>46219</v>
      </c>
      <c r="G33" s="3">
        <v>6</v>
      </c>
      <c r="H33" t="s">
        <v>20</v>
      </c>
      <c r="I33" s="3">
        <v>2700</v>
      </c>
      <c r="J33" t="s">
        <v>72</v>
      </c>
      <c r="K33" t="s">
        <v>4</v>
      </c>
      <c r="L33" t="s">
        <v>37</v>
      </c>
      <c r="M33" t="s">
        <v>23</v>
      </c>
      <c r="N33" t="s">
        <v>71</v>
      </c>
      <c r="O33" t="s">
        <v>7</v>
      </c>
      <c r="Q33" t="b">
        <f t="shared" si="0"/>
        <v>1</v>
      </c>
      <c r="R33" t="b">
        <f t="shared" si="1"/>
        <v>1</v>
      </c>
      <c r="S33" t="b">
        <f t="shared" si="2"/>
        <v>1</v>
      </c>
      <c r="T33" t="b">
        <f t="shared" si="3"/>
        <v>1</v>
      </c>
      <c r="U33" t="b">
        <f t="shared" si="4"/>
        <v>1</v>
      </c>
      <c r="V33" t="b">
        <f t="shared" si="5"/>
        <v>1</v>
      </c>
      <c r="W33" t="b">
        <f t="shared" si="6"/>
        <v>1</v>
      </c>
      <c r="X33" t="b">
        <f t="shared" si="7"/>
        <v>1</v>
      </c>
      <c r="Y33" t="b">
        <f t="shared" si="8"/>
        <v>1</v>
      </c>
      <c r="Z33" t="b">
        <f t="shared" si="9"/>
        <v>1</v>
      </c>
      <c r="AA33" t="b">
        <f t="shared" si="10"/>
        <v>1</v>
      </c>
      <c r="AB33" t="b">
        <f t="shared" si="11"/>
        <v>1</v>
      </c>
      <c r="AC33" t="b">
        <f t="shared" si="12"/>
        <v>1</v>
      </c>
      <c r="AD33" t="b">
        <f t="shared" si="13"/>
        <v>1</v>
      </c>
      <c r="AE33" t="b">
        <f t="shared" si="14"/>
        <v>1</v>
      </c>
      <c r="AG33" s="1">
        <v>2738277</v>
      </c>
      <c r="AH33" t="s">
        <v>557</v>
      </c>
      <c r="AI33">
        <v>560</v>
      </c>
      <c r="AJ33" t="s">
        <v>503</v>
      </c>
      <c r="AK33" s="2">
        <v>46219</v>
      </c>
      <c r="AL33" s="2">
        <v>46219</v>
      </c>
      <c r="AM33" s="3">
        <v>6</v>
      </c>
      <c r="AN33" t="s">
        <v>20</v>
      </c>
      <c r="AO33" s="3">
        <v>2700</v>
      </c>
      <c r="AP33" t="s">
        <v>560</v>
      </c>
      <c r="AR33" t="s">
        <v>528</v>
      </c>
      <c r="AS33" t="s">
        <v>23</v>
      </c>
      <c r="AT33" t="s">
        <v>559</v>
      </c>
    </row>
    <row r="34" spans="1:47" x14ac:dyDescent="0.25">
      <c r="A34" s="1">
        <v>2739060</v>
      </c>
      <c r="B34" t="s">
        <v>73</v>
      </c>
      <c r="C34">
        <v>550</v>
      </c>
      <c r="D34" t="s">
        <v>1</v>
      </c>
      <c r="E34" s="2">
        <v>46213</v>
      </c>
      <c r="F34" s="2">
        <v>46219</v>
      </c>
      <c r="G34" s="3">
        <v>10</v>
      </c>
      <c r="H34" t="s">
        <v>2</v>
      </c>
      <c r="I34" s="3">
        <v>400</v>
      </c>
      <c r="J34" t="s">
        <v>74</v>
      </c>
      <c r="K34" t="s">
        <v>4</v>
      </c>
      <c r="L34" t="s">
        <v>5</v>
      </c>
      <c r="M34" t="s">
        <v>6</v>
      </c>
      <c r="N34" t="s">
        <v>7</v>
      </c>
      <c r="O34" t="s">
        <v>7</v>
      </c>
      <c r="Q34" t="b">
        <f t="shared" si="0"/>
        <v>1</v>
      </c>
      <c r="R34" t="b">
        <f t="shared" si="1"/>
        <v>1</v>
      </c>
      <c r="S34" t="b">
        <f t="shared" si="2"/>
        <v>1</v>
      </c>
      <c r="T34" t="b">
        <f t="shared" si="3"/>
        <v>1</v>
      </c>
      <c r="U34" t="b">
        <f t="shared" si="4"/>
        <v>1</v>
      </c>
      <c r="V34" t="b">
        <f t="shared" si="5"/>
        <v>1</v>
      </c>
      <c r="W34" t="b">
        <f t="shared" si="6"/>
        <v>1</v>
      </c>
      <c r="X34" t="b">
        <f t="shared" si="7"/>
        <v>1</v>
      </c>
      <c r="Y34" t="b">
        <f t="shared" si="8"/>
        <v>1</v>
      </c>
      <c r="Z34" t="b">
        <f t="shared" si="9"/>
        <v>1</v>
      </c>
      <c r="AA34" t="b">
        <f t="shared" si="10"/>
        <v>1</v>
      </c>
      <c r="AB34" t="b">
        <f t="shared" si="11"/>
        <v>1</v>
      </c>
      <c r="AC34" t="b">
        <f t="shared" si="12"/>
        <v>1</v>
      </c>
      <c r="AD34" t="b">
        <f t="shared" si="13"/>
        <v>1</v>
      </c>
      <c r="AE34" t="b">
        <f t="shared" si="14"/>
        <v>1</v>
      </c>
      <c r="AG34" s="1">
        <v>2739060</v>
      </c>
      <c r="AH34" t="s">
        <v>561</v>
      </c>
      <c r="AI34">
        <v>550</v>
      </c>
      <c r="AJ34" t="s">
        <v>503</v>
      </c>
      <c r="AK34" s="2">
        <v>46213</v>
      </c>
      <c r="AL34" s="2">
        <v>46219</v>
      </c>
      <c r="AM34" s="3">
        <v>10</v>
      </c>
      <c r="AN34" t="s">
        <v>2</v>
      </c>
      <c r="AO34" s="3">
        <v>400</v>
      </c>
      <c r="AP34" t="s">
        <v>562</v>
      </c>
      <c r="AR34" t="s">
        <v>505</v>
      </c>
    </row>
    <row r="35" spans="1:47" x14ac:dyDescent="0.25">
      <c r="A35" s="1">
        <v>2739076</v>
      </c>
      <c r="B35" t="s">
        <v>75</v>
      </c>
      <c r="C35">
        <v>560</v>
      </c>
      <c r="D35" t="s">
        <v>1</v>
      </c>
      <c r="E35" s="2">
        <v>46218</v>
      </c>
      <c r="F35" s="2">
        <v>46219</v>
      </c>
      <c r="G35" s="3">
        <v>12</v>
      </c>
      <c r="H35" t="s">
        <v>20</v>
      </c>
      <c r="I35" s="3">
        <v>5100</v>
      </c>
      <c r="J35" t="s">
        <v>76</v>
      </c>
      <c r="K35" t="s">
        <v>4</v>
      </c>
      <c r="L35" t="s">
        <v>37</v>
      </c>
      <c r="M35" t="s">
        <v>23</v>
      </c>
      <c r="N35" t="s">
        <v>7</v>
      </c>
      <c r="O35" t="s">
        <v>7</v>
      </c>
      <c r="Q35" t="b">
        <f t="shared" si="0"/>
        <v>1</v>
      </c>
      <c r="R35" t="b">
        <f t="shared" si="1"/>
        <v>1</v>
      </c>
      <c r="S35" t="b">
        <f t="shared" si="2"/>
        <v>1</v>
      </c>
      <c r="T35" t="b">
        <f t="shared" si="3"/>
        <v>1</v>
      </c>
      <c r="U35" t="b">
        <f t="shared" si="4"/>
        <v>1</v>
      </c>
      <c r="V35" t="b">
        <f t="shared" si="5"/>
        <v>1</v>
      </c>
      <c r="W35" t="b">
        <f t="shared" si="6"/>
        <v>1</v>
      </c>
      <c r="X35" t="b">
        <f t="shared" si="7"/>
        <v>1</v>
      </c>
      <c r="Y35" t="b">
        <f t="shared" si="8"/>
        <v>1</v>
      </c>
      <c r="Z35" t="b">
        <f t="shared" si="9"/>
        <v>1</v>
      </c>
      <c r="AA35" t="b">
        <f t="shared" si="10"/>
        <v>1</v>
      </c>
      <c r="AB35" t="b">
        <f t="shared" si="11"/>
        <v>1</v>
      </c>
      <c r="AC35" t="b">
        <f t="shared" si="12"/>
        <v>1</v>
      </c>
      <c r="AD35" t="b">
        <f t="shared" si="13"/>
        <v>1</v>
      </c>
      <c r="AE35" t="b">
        <f t="shared" si="14"/>
        <v>1</v>
      </c>
      <c r="AG35" s="1">
        <v>2739076</v>
      </c>
      <c r="AH35" t="s">
        <v>563</v>
      </c>
      <c r="AI35">
        <v>560</v>
      </c>
      <c r="AJ35" t="s">
        <v>503</v>
      </c>
      <c r="AK35" s="2">
        <v>46218</v>
      </c>
      <c r="AL35" s="2">
        <v>46219</v>
      </c>
      <c r="AM35" s="3">
        <v>12</v>
      </c>
      <c r="AN35" t="s">
        <v>20</v>
      </c>
      <c r="AO35" s="3">
        <v>5100</v>
      </c>
      <c r="AP35" t="s">
        <v>564</v>
      </c>
      <c r="AR35" t="s">
        <v>528</v>
      </c>
      <c r="AS35" t="s">
        <v>23</v>
      </c>
    </row>
    <row r="36" spans="1:47" x14ac:dyDescent="0.25">
      <c r="A36" s="1">
        <v>2740477</v>
      </c>
      <c r="B36" t="s">
        <v>77</v>
      </c>
      <c r="C36">
        <v>560</v>
      </c>
      <c r="D36" t="s">
        <v>1</v>
      </c>
      <c r="E36" s="2">
        <v>46219</v>
      </c>
      <c r="F36" s="2">
        <v>46219</v>
      </c>
      <c r="G36" s="3">
        <v>2</v>
      </c>
      <c r="H36" t="s">
        <v>11</v>
      </c>
      <c r="I36" s="3">
        <v>5400</v>
      </c>
      <c r="J36" t="s">
        <v>78</v>
      </c>
      <c r="K36" t="s">
        <v>4</v>
      </c>
      <c r="L36" t="s">
        <v>22</v>
      </c>
      <c r="M36" t="s">
        <v>23</v>
      </c>
      <c r="N36" t="s">
        <v>79</v>
      </c>
      <c r="O36" t="s">
        <v>7</v>
      </c>
      <c r="Q36" t="b">
        <f t="shared" si="0"/>
        <v>1</v>
      </c>
      <c r="R36" t="b">
        <f t="shared" si="1"/>
        <v>1</v>
      </c>
      <c r="S36" t="b">
        <f t="shared" si="2"/>
        <v>1</v>
      </c>
      <c r="T36" t="b">
        <f t="shared" si="3"/>
        <v>1</v>
      </c>
      <c r="U36" t="b">
        <f t="shared" si="4"/>
        <v>1</v>
      </c>
      <c r="V36" t="b">
        <f t="shared" si="5"/>
        <v>1</v>
      </c>
      <c r="W36" t="b">
        <f t="shared" si="6"/>
        <v>1</v>
      </c>
      <c r="X36" t="b">
        <f t="shared" si="7"/>
        <v>1</v>
      </c>
      <c r="Y36" t="b">
        <f t="shared" si="8"/>
        <v>1</v>
      </c>
      <c r="Z36" t="b">
        <f t="shared" si="9"/>
        <v>1</v>
      </c>
      <c r="AA36" t="b">
        <f t="shared" si="10"/>
        <v>1</v>
      </c>
      <c r="AB36" t="b">
        <f t="shared" si="11"/>
        <v>1</v>
      </c>
      <c r="AC36" t="b">
        <f t="shared" si="12"/>
        <v>1</v>
      </c>
      <c r="AD36" t="b">
        <f t="shared" si="13"/>
        <v>1</v>
      </c>
      <c r="AE36" t="b">
        <f t="shared" si="14"/>
        <v>1</v>
      </c>
      <c r="AG36" s="1">
        <v>2740477</v>
      </c>
      <c r="AH36" t="s">
        <v>565</v>
      </c>
      <c r="AI36">
        <v>560</v>
      </c>
      <c r="AJ36" t="s">
        <v>503</v>
      </c>
      <c r="AK36" s="2">
        <v>46219</v>
      </c>
      <c r="AL36" s="2">
        <v>46219</v>
      </c>
      <c r="AM36" s="3">
        <v>2</v>
      </c>
      <c r="AN36" t="s">
        <v>11</v>
      </c>
      <c r="AO36" s="3">
        <v>5400</v>
      </c>
      <c r="AP36" t="s">
        <v>566</v>
      </c>
      <c r="AR36" t="s">
        <v>516</v>
      </c>
      <c r="AS36" t="s">
        <v>23</v>
      </c>
      <c r="AT36" t="s">
        <v>567</v>
      </c>
    </row>
    <row r="37" spans="1:47" x14ac:dyDescent="0.25">
      <c r="A37" s="1">
        <v>2740477</v>
      </c>
      <c r="B37" t="s">
        <v>77</v>
      </c>
      <c r="C37">
        <v>560</v>
      </c>
      <c r="D37" t="s">
        <v>1</v>
      </c>
      <c r="E37" s="2">
        <v>46219</v>
      </c>
      <c r="F37" s="2">
        <v>46219</v>
      </c>
      <c r="G37" s="3">
        <v>7</v>
      </c>
      <c r="H37" t="s">
        <v>11</v>
      </c>
      <c r="I37" s="3">
        <v>21700</v>
      </c>
      <c r="J37" t="s">
        <v>80</v>
      </c>
      <c r="K37" t="s">
        <v>4</v>
      </c>
      <c r="L37" t="s">
        <v>22</v>
      </c>
      <c r="M37" t="s">
        <v>23</v>
      </c>
      <c r="N37" t="s">
        <v>79</v>
      </c>
      <c r="O37" t="s">
        <v>7</v>
      </c>
      <c r="Q37" t="b">
        <f t="shared" si="0"/>
        <v>1</v>
      </c>
      <c r="R37" t="b">
        <f t="shared" si="1"/>
        <v>1</v>
      </c>
      <c r="S37" t="b">
        <f t="shared" si="2"/>
        <v>1</v>
      </c>
      <c r="T37" t="b">
        <f t="shared" si="3"/>
        <v>1</v>
      </c>
      <c r="U37" t="b">
        <f t="shared" si="4"/>
        <v>1</v>
      </c>
      <c r="V37" t="b">
        <f t="shared" si="5"/>
        <v>1</v>
      </c>
      <c r="W37" t="b">
        <f t="shared" si="6"/>
        <v>1</v>
      </c>
      <c r="X37" t="b">
        <f t="shared" si="7"/>
        <v>1</v>
      </c>
      <c r="Y37" t="b">
        <f t="shared" si="8"/>
        <v>1</v>
      </c>
      <c r="Z37" t="b">
        <f t="shared" si="9"/>
        <v>1</v>
      </c>
      <c r="AA37" t="b">
        <f t="shared" si="10"/>
        <v>1</v>
      </c>
      <c r="AB37" t="b">
        <f t="shared" si="11"/>
        <v>1</v>
      </c>
      <c r="AC37" t="b">
        <f t="shared" si="12"/>
        <v>1</v>
      </c>
      <c r="AD37" t="b">
        <f t="shared" si="13"/>
        <v>1</v>
      </c>
      <c r="AE37" t="b">
        <f t="shared" si="14"/>
        <v>1</v>
      </c>
      <c r="AG37" s="1">
        <v>2740477</v>
      </c>
      <c r="AH37" t="s">
        <v>565</v>
      </c>
      <c r="AI37">
        <v>560</v>
      </c>
      <c r="AJ37" t="s">
        <v>503</v>
      </c>
      <c r="AK37" s="2">
        <v>46219</v>
      </c>
      <c r="AL37" s="2">
        <v>46219</v>
      </c>
      <c r="AM37" s="3">
        <v>7</v>
      </c>
      <c r="AN37" t="s">
        <v>11</v>
      </c>
      <c r="AO37" s="3">
        <v>21700</v>
      </c>
      <c r="AP37" t="s">
        <v>568</v>
      </c>
      <c r="AR37" t="s">
        <v>516</v>
      </c>
      <c r="AS37" t="s">
        <v>23</v>
      </c>
      <c r="AT37" t="s">
        <v>567</v>
      </c>
    </row>
    <row r="38" spans="1:47" x14ac:dyDescent="0.25">
      <c r="A38" s="1">
        <v>2740477</v>
      </c>
      <c r="B38" t="s">
        <v>77</v>
      </c>
      <c r="C38">
        <v>560</v>
      </c>
      <c r="D38" t="s">
        <v>1</v>
      </c>
      <c r="E38" s="2">
        <v>46219</v>
      </c>
      <c r="F38" s="2">
        <v>46219</v>
      </c>
      <c r="G38" s="3">
        <v>4</v>
      </c>
      <c r="H38" t="s">
        <v>11</v>
      </c>
      <c r="I38" s="3">
        <v>10800</v>
      </c>
      <c r="J38" t="s">
        <v>81</v>
      </c>
      <c r="K38" t="s">
        <v>4</v>
      </c>
      <c r="L38" t="s">
        <v>22</v>
      </c>
      <c r="M38" t="s">
        <v>23</v>
      </c>
      <c r="N38" t="s">
        <v>79</v>
      </c>
      <c r="O38" t="s">
        <v>7</v>
      </c>
      <c r="Q38" t="b">
        <f t="shared" si="0"/>
        <v>1</v>
      </c>
      <c r="R38" t="b">
        <f t="shared" si="1"/>
        <v>1</v>
      </c>
      <c r="S38" t="b">
        <f t="shared" si="2"/>
        <v>1</v>
      </c>
      <c r="T38" t="b">
        <f t="shared" si="3"/>
        <v>1</v>
      </c>
      <c r="U38" t="b">
        <f t="shared" si="4"/>
        <v>1</v>
      </c>
      <c r="V38" t="b">
        <f t="shared" si="5"/>
        <v>1</v>
      </c>
      <c r="W38" t="b">
        <f t="shared" si="6"/>
        <v>1</v>
      </c>
      <c r="X38" t="b">
        <f t="shared" si="7"/>
        <v>1</v>
      </c>
      <c r="Y38" t="b">
        <f t="shared" si="8"/>
        <v>1</v>
      </c>
      <c r="Z38" t="b">
        <f t="shared" si="9"/>
        <v>1</v>
      </c>
      <c r="AA38" t="b">
        <f t="shared" si="10"/>
        <v>1</v>
      </c>
      <c r="AB38" t="b">
        <f t="shared" si="11"/>
        <v>1</v>
      </c>
      <c r="AC38" t="b">
        <f t="shared" si="12"/>
        <v>1</v>
      </c>
      <c r="AD38" t="b">
        <f t="shared" si="13"/>
        <v>1</v>
      </c>
      <c r="AE38" t="b">
        <f t="shared" si="14"/>
        <v>1</v>
      </c>
      <c r="AG38" s="1">
        <v>2740477</v>
      </c>
      <c r="AH38" t="s">
        <v>565</v>
      </c>
      <c r="AI38">
        <v>560</v>
      </c>
      <c r="AJ38" t="s">
        <v>503</v>
      </c>
      <c r="AK38" s="2">
        <v>46219</v>
      </c>
      <c r="AL38" s="2">
        <v>46219</v>
      </c>
      <c r="AM38" s="3">
        <v>4</v>
      </c>
      <c r="AN38" t="s">
        <v>11</v>
      </c>
      <c r="AO38" s="3">
        <v>10800</v>
      </c>
      <c r="AP38" t="s">
        <v>569</v>
      </c>
      <c r="AR38" t="s">
        <v>516</v>
      </c>
      <c r="AS38" t="s">
        <v>23</v>
      </c>
      <c r="AT38" t="s">
        <v>567</v>
      </c>
    </row>
    <row r="39" spans="1:47" x14ac:dyDescent="0.25">
      <c r="A39" s="1">
        <v>2742631</v>
      </c>
      <c r="B39" t="s">
        <v>26</v>
      </c>
      <c r="C39">
        <v>540</v>
      </c>
      <c r="D39" t="s">
        <v>1</v>
      </c>
      <c r="E39" s="2">
        <v>46219</v>
      </c>
      <c r="F39" s="2">
        <v>46219</v>
      </c>
      <c r="G39" s="3">
        <v>5</v>
      </c>
      <c r="H39" t="s">
        <v>27</v>
      </c>
      <c r="I39" s="3">
        <v>0</v>
      </c>
      <c r="J39" t="s">
        <v>82</v>
      </c>
      <c r="K39" t="s">
        <v>83</v>
      </c>
      <c r="L39" t="s">
        <v>30</v>
      </c>
      <c r="M39" t="s">
        <v>6</v>
      </c>
      <c r="N39" t="s">
        <v>7</v>
      </c>
      <c r="O39" t="s">
        <v>31</v>
      </c>
      <c r="Q39" t="b">
        <f t="shared" si="0"/>
        <v>1</v>
      </c>
      <c r="R39" t="b">
        <f t="shared" si="1"/>
        <v>1</v>
      </c>
      <c r="S39" t="b">
        <f t="shared" si="2"/>
        <v>1</v>
      </c>
      <c r="T39" t="b">
        <f t="shared" si="3"/>
        <v>1</v>
      </c>
      <c r="U39" t="b">
        <f t="shared" si="4"/>
        <v>1</v>
      </c>
      <c r="V39" t="b">
        <f t="shared" si="5"/>
        <v>1</v>
      </c>
      <c r="W39" t="b">
        <f t="shared" si="6"/>
        <v>1</v>
      </c>
      <c r="X39" t="b">
        <f t="shared" si="7"/>
        <v>1</v>
      </c>
      <c r="Y39" t="b">
        <f t="shared" si="8"/>
        <v>1</v>
      </c>
      <c r="Z39" t="b">
        <f t="shared" si="9"/>
        <v>1</v>
      </c>
      <c r="AA39" t="b">
        <f t="shared" si="10"/>
        <v>1</v>
      </c>
      <c r="AB39" t="b">
        <f t="shared" si="11"/>
        <v>1</v>
      </c>
      <c r="AC39" t="b">
        <f t="shared" si="12"/>
        <v>1</v>
      </c>
      <c r="AD39" t="b">
        <f t="shared" si="13"/>
        <v>1</v>
      </c>
      <c r="AE39" t="b">
        <f t="shared" si="14"/>
        <v>1</v>
      </c>
      <c r="AG39" s="1">
        <v>2742631</v>
      </c>
      <c r="AH39" t="s">
        <v>519</v>
      </c>
      <c r="AI39">
        <v>540</v>
      </c>
      <c r="AJ39" t="s">
        <v>503</v>
      </c>
      <c r="AK39" s="2">
        <v>46219</v>
      </c>
      <c r="AL39" s="2">
        <v>46219</v>
      </c>
      <c r="AM39" s="3">
        <v>5</v>
      </c>
      <c r="AN39" t="s">
        <v>27</v>
      </c>
      <c r="AO39" s="3">
        <v>0</v>
      </c>
      <c r="AP39" t="s">
        <v>570</v>
      </c>
      <c r="AQ39" t="s">
        <v>83</v>
      </c>
      <c r="AR39" t="s">
        <v>521</v>
      </c>
      <c r="AU39" t="s">
        <v>522</v>
      </c>
    </row>
    <row r="40" spans="1:47" x14ac:dyDescent="0.25">
      <c r="A40" s="1">
        <v>2743583</v>
      </c>
      <c r="B40" t="s">
        <v>84</v>
      </c>
      <c r="C40">
        <v>550</v>
      </c>
      <c r="D40" t="s">
        <v>1</v>
      </c>
      <c r="E40" s="2">
        <v>46219</v>
      </c>
      <c r="F40" s="2">
        <v>46219</v>
      </c>
      <c r="G40" s="3">
        <v>2</v>
      </c>
      <c r="H40" t="s">
        <v>20</v>
      </c>
      <c r="I40" s="3">
        <v>950</v>
      </c>
      <c r="J40" t="s">
        <v>85</v>
      </c>
      <c r="K40" t="s">
        <v>4</v>
      </c>
      <c r="L40" t="s">
        <v>5</v>
      </c>
      <c r="M40" t="s">
        <v>6</v>
      </c>
      <c r="N40" t="s">
        <v>7</v>
      </c>
      <c r="O40" t="s">
        <v>7</v>
      </c>
      <c r="Q40" t="b">
        <f t="shared" si="0"/>
        <v>1</v>
      </c>
      <c r="R40" t="b">
        <f t="shared" si="1"/>
        <v>1</v>
      </c>
      <c r="S40" t="b">
        <f t="shared" si="2"/>
        <v>0</v>
      </c>
      <c r="T40" t="b">
        <f t="shared" si="3"/>
        <v>1</v>
      </c>
      <c r="U40" t="b">
        <f t="shared" si="4"/>
        <v>1</v>
      </c>
      <c r="V40" t="b">
        <f t="shared" si="5"/>
        <v>0</v>
      </c>
      <c r="W40" t="b">
        <f t="shared" si="6"/>
        <v>1</v>
      </c>
      <c r="X40" t="b">
        <f t="shared" si="7"/>
        <v>1</v>
      </c>
      <c r="Y40" t="b">
        <f t="shared" si="8"/>
        <v>1</v>
      </c>
      <c r="Z40" t="b">
        <f t="shared" si="9"/>
        <v>1</v>
      </c>
      <c r="AA40" t="b">
        <f t="shared" si="10"/>
        <v>1</v>
      </c>
      <c r="AB40" t="b">
        <f t="shared" si="11"/>
        <v>0</v>
      </c>
      <c r="AC40" t="b">
        <f t="shared" si="12"/>
        <v>1</v>
      </c>
      <c r="AD40" t="b">
        <f t="shared" si="13"/>
        <v>1</v>
      </c>
      <c r="AE40" t="b">
        <f t="shared" si="14"/>
        <v>1</v>
      </c>
      <c r="AG40" s="1">
        <v>2743583</v>
      </c>
      <c r="AH40" t="s">
        <v>571</v>
      </c>
      <c r="AI40">
        <v>540</v>
      </c>
      <c r="AJ40" t="s">
        <v>503</v>
      </c>
      <c r="AK40" s="2">
        <v>46219</v>
      </c>
      <c r="AL40" s="2">
        <v>46220</v>
      </c>
      <c r="AM40" s="3">
        <v>2</v>
      </c>
      <c r="AN40" t="s">
        <v>20</v>
      </c>
      <c r="AO40" s="3">
        <v>950</v>
      </c>
      <c r="AP40" t="s">
        <v>572</v>
      </c>
      <c r="AR40" t="s">
        <v>521</v>
      </c>
    </row>
    <row r="41" spans="1:47" x14ac:dyDescent="0.25">
      <c r="A41" s="1">
        <v>2696646</v>
      </c>
      <c r="B41" t="s">
        <v>86</v>
      </c>
      <c r="C41">
        <v>540</v>
      </c>
      <c r="D41" t="s">
        <v>1</v>
      </c>
      <c r="E41" s="2">
        <v>46196</v>
      </c>
      <c r="F41" s="2">
        <v>46220</v>
      </c>
      <c r="G41" s="3">
        <v>18</v>
      </c>
      <c r="H41" t="s">
        <v>11</v>
      </c>
      <c r="I41" s="3">
        <v>39600</v>
      </c>
      <c r="J41" t="s">
        <v>87</v>
      </c>
      <c r="K41" t="s">
        <v>4</v>
      </c>
      <c r="L41" t="s">
        <v>22</v>
      </c>
      <c r="M41" t="s">
        <v>23</v>
      </c>
      <c r="N41" t="s">
        <v>7</v>
      </c>
      <c r="O41" t="s">
        <v>7</v>
      </c>
      <c r="Q41" t="b">
        <f t="shared" si="0"/>
        <v>1</v>
      </c>
      <c r="R41" t="b">
        <f t="shared" si="1"/>
        <v>1</v>
      </c>
      <c r="S41" t="b">
        <f t="shared" si="2"/>
        <v>1</v>
      </c>
      <c r="T41" t="b">
        <f t="shared" si="3"/>
        <v>1</v>
      </c>
      <c r="U41" t="b">
        <f t="shared" si="4"/>
        <v>1</v>
      </c>
      <c r="V41" t="b">
        <f t="shared" si="5"/>
        <v>1</v>
      </c>
      <c r="W41" t="b">
        <f t="shared" si="6"/>
        <v>1</v>
      </c>
      <c r="X41" t="b">
        <f t="shared" si="7"/>
        <v>1</v>
      </c>
      <c r="Y41" t="b">
        <f t="shared" si="8"/>
        <v>1</v>
      </c>
      <c r="Z41" t="b">
        <f t="shared" si="9"/>
        <v>1</v>
      </c>
      <c r="AA41" t="b">
        <f t="shared" si="10"/>
        <v>1</v>
      </c>
      <c r="AB41" t="b">
        <f t="shared" si="11"/>
        <v>1</v>
      </c>
      <c r="AC41" t="b">
        <f t="shared" si="12"/>
        <v>1</v>
      </c>
      <c r="AD41" t="b">
        <f t="shared" si="13"/>
        <v>1</v>
      </c>
      <c r="AE41" t="b">
        <f t="shared" si="14"/>
        <v>1</v>
      </c>
      <c r="AG41" s="1">
        <v>2696646</v>
      </c>
      <c r="AH41" t="s">
        <v>573</v>
      </c>
      <c r="AI41">
        <v>540</v>
      </c>
      <c r="AJ41" t="s">
        <v>503</v>
      </c>
      <c r="AK41" s="2">
        <v>46196</v>
      </c>
      <c r="AL41" s="2">
        <v>46220</v>
      </c>
      <c r="AM41" s="3">
        <v>18</v>
      </c>
      <c r="AN41" t="s">
        <v>11</v>
      </c>
      <c r="AO41" s="3">
        <v>39600</v>
      </c>
      <c r="AP41" t="s">
        <v>574</v>
      </c>
      <c r="AR41" t="s">
        <v>516</v>
      </c>
      <c r="AS41" t="s">
        <v>23</v>
      </c>
    </row>
    <row r="42" spans="1:47" x14ac:dyDescent="0.25">
      <c r="A42" s="1">
        <v>2719339</v>
      </c>
      <c r="B42" t="s">
        <v>88</v>
      </c>
      <c r="C42">
        <v>560</v>
      </c>
      <c r="D42" t="s">
        <v>1</v>
      </c>
      <c r="E42" s="2">
        <v>46220</v>
      </c>
      <c r="F42" s="2">
        <v>46220</v>
      </c>
      <c r="G42" s="3">
        <v>4</v>
      </c>
      <c r="H42" t="s">
        <v>20</v>
      </c>
      <c r="I42" s="3">
        <v>1900</v>
      </c>
      <c r="J42" t="s">
        <v>89</v>
      </c>
      <c r="K42" t="s">
        <v>4</v>
      </c>
      <c r="L42" t="s">
        <v>90</v>
      </c>
      <c r="M42" t="s">
        <v>6</v>
      </c>
      <c r="N42" t="s">
        <v>7</v>
      </c>
      <c r="O42" t="s">
        <v>7</v>
      </c>
      <c r="Q42" t="b">
        <f t="shared" si="0"/>
        <v>1</v>
      </c>
      <c r="R42" t="b">
        <f t="shared" si="1"/>
        <v>1</v>
      </c>
      <c r="S42" t="b">
        <f t="shared" si="2"/>
        <v>1</v>
      </c>
      <c r="T42" t="b">
        <f t="shared" si="3"/>
        <v>1</v>
      </c>
      <c r="U42" t="b">
        <f t="shared" si="4"/>
        <v>1</v>
      </c>
      <c r="V42" t="b">
        <f t="shared" si="5"/>
        <v>1</v>
      </c>
      <c r="W42" t="b">
        <f t="shared" si="6"/>
        <v>1</v>
      </c>
      <c r="X42" t="b">
        <f t="shared" si="7"/>
        <v>1</v>
      </c>
      <c r="Y42" t="b">
        <f t="shared" si="8"/>
        <v>1</v>
      </c>
      <c r="Z42" t="b">
        <f t="shared" si="9"/>
        <v>1</v>
      </c>
      <c r="AA42" t="b">
        <f t="shared" si="10"/>
        <v>1</v>
      </c>
      <c r="AB42" t="b">
        <f t="shared" si="11"/>
        <v>1</v>
      </c>
      <c r="AC42" t="b">
        <f t="shared" si="12"/>
        <v>1</v>
      </c>
      <c r="AD42" t="b">
        <f t="shared" si="13"/>
        <v>1</v>
      </c>
      <c r="AE42" t="b">
        <f t="shared" si="14"/>
        <v>1</v>
      </c>
      <c r="AG42" s="1">
        <v>2719339</v>
      </c>
      <c r="AH42" t="s">
        <v>575</v>
      </c>
      <c r="AI42">
        <v>560</v>
      </c>
      <c r="AJ42" t="s">
        <v>503</v>
      </c>
      <c r="AK42" s="2">
        <v>46220</v>
      </c>
      <c r="AL42" s="2">
        <v>46220</v>
      </c>
      <c r="AM42" s="3">
        <v>4</v>
      </c>
      <c r="AN42" t="s">
        <v>20</v>
      </c>
      <c r="AO42" s="3">
        <v>1900</v>
      </c>
      <c r="AP42" t="s">
        <v>576</v>
      </c>
      <c r="AR42" t="s">
        <v>577</v>
      </c>
    </row>
    <row r="43" spans="1:47" x14ac:dyDescent="0.25">
      <c r="A43" s="1">
        <v>2722432</v>
      </c>
      <c r="B43" t="s">
        <v>91</v>
      </c>
      <c r="C43">
        <v>540</v>
      </c>
      <c r="D43" t="s">
        <v>1</v>
      </c>
      <c r="E43" s="2">
        <v>46220</v>
      </c>
      <c r="F43" s="2">
        <v>46220</v>
      </c>
      <c r="G43" s="3">
        <v>1</v>
      </c>
      <c r="H43" t="s">
        <v>11</v>
      </c>
      <c r="I43" s="3">
        <v>2600</v>
      </c>
      <c r="J43" t="s">
        <v>92</v>
      </c>
      <c r="K43" t="s">
        <v>4</v>
      </c>
      <c r="L43" t="s">
        <v>30</v>
      </c>
      <c r="M43" t="s">
        <v>6</v>
      </c>
      <c r="N43" t="s">
        <v>7</v>
      </c>
      <c r="O43" t="s">
        <v>7</v>
      </c>
      <c r="Q43" t="b">
        <f t="shared" si="0"/>
        <v>1</v>
      </c>
      <c r="R43" t="b">
        <f t="shared" si="1"/>
        <v>1</v>
      </c>
      <c r="S43" t="b">
        <f t="shared" si="2"/>
        <v>1</v>
      </c>
      <c r="T43" t="b">
        <f t="shared" si="3"/>
        <v>1</v>
      </c>
      <c r="U43" t="b">
        <f t="shared" si="4"/>
        <v>1</v>
      </c>
      <c r="V43" t="b">
        <f t="shared" si="5"/>
        <v>1</v>
      </c>
      <c r="W43" t="b">
        <f t="shared" si="6"/>
        <v>1</v>
      </c>
      <c r="X43" t="b">
        <f t="shared" si="7"/>
        <v>1</v>
      </c>
      <c r="Y43" t="b">
        <f t="shared" si="8"/>
        <v>1</v>
      </c>
      <c r="Z43" t="b">
        <f t="shared" si="9"/>
        <v>1</v>
      </c>
      <c r="AA43" t="b">
        <f t="shared" si="10"/>
        <v>1</v>
      </c>
      <c r="AB43" t="b">
        <f t="shared" si="11"/>
        <v>1</v>
      </c>
      <c r="AC43" t="b">
        <f t="shared" si="12"/>
        <v>1</v>
      </c>
      <c r="AD43" t="b">
        <f t="shared" si="13"/>
        <v>1</v>
      </c>
      <c r="AE43" t="b">
        <f t="shared" si="14"/>
        <v>1</v>
      </c>
      <c r="AG43" s="1">
        <v>2722432</v>
      </c>
      <c r="AH43" t="s">
        <v>578</v>
      </c>
      <c r="AI43">
        <v>540</v>
      </c>
      <c r="AJ43" t="s">
        <v>503</v>
      </c>
      <c r="AK43" s="2">
        <v>46220</v>
      </c>
      <c r="AL43" s="2">
        <v>46220</v>
      </c>
      <c r="AM43" s="3">
        <v>1</v>
      </c>
      <c r="AN43" t="s">
        <v>11</v>
      </c>
      <c r="AO43" s="3">
        <v>2600</v>
      </c>
      <c r="AP43" t="s">
        <v>579</v>
      </c>
      <c r="AR43" t="s">
        <v>521</v>
      </c>
    </row>
    <row r="44" spans="1:47" x14ac:dyDescent="0.25">
      <c r="A44" s="1">
        <v>2723346</v>
      </c>
      <c r="B44" t="s">
        <v>93</v>
      </c>
      <c r="C44">
        <v>560</v>
      </c>
      <c r="D44" t="s">
        <v>1</v>
      </c>
      <c r="E44" s="2">
        <v>46220</v>
      </c>
      <c r="F44" s="2">
        <v>46220</v>
      </c>
      <c r="G44" s="3">
        <v>4</v>
      </c>
      <c r="H44" t="s">
        <v>20</v>
      </c>
      <c r="I44" s="3">
        <v>1800</v>
      </c>
      <c r="J44" t="s">
        <v>94</v>
      </c>
      <c r="K44" t="s">
        <v>4</v>
      </c>
      <c r="L44" t="s">
        <v>37</v>
      </c>
      <c r="M44" t="s">
        <v>23</v>
      </c>
      <c r="N44" t="s">
        <v>7</v>
      </c>
      <c r="O44" t="s">
        <v>7</v>
      </c>
      <c r="Q44" t="b">
        <f t="shared" si="0"/>
        <v>1</v>
      </c>
      <c r="R44" t="b">
        <f t="shared" si="1"/>
        <v>1</v>
      </c>
      <c r="S44" t="b">
        <f t="shared" si="2"/>
        <v>1</v>
      </c>
      <c r="T44" t="b">
        <f t="shared" si="3"/>
        <v>1</v>
      </c>
      <c r="U44" t="b">
        <f t="shared" si="4"/>
        <v>1</v>
      </c>
      <c r="V44" t="b">
        <f t="shared" si="5"/>
        <v>1</v>
      </c>
      <c r="W44" t="b">
        <f t="shared" si="6"/>
        <v>1</v>
      </c>
      <c r="X44" t="b">
        <f t="shared" si="7"/>
        <v>1</v>
      </c>
      <c r="Y44" t="b">
        <f t="shared" si="8"/>
        <v>1</v>
      </c>
      <c r="Z44" t="b">
        <f t="shared" si="9"/>
        <v>1</v>
      </c>
      <c r="AA44" t="b">
        <f t="shared" si="10"/>
        <v>1</v>
      </c>
      <c r="AB44" t="b">
        <f t="shared" si="11"/>
        <v>1</v>
      </c>
      <c r="AC44" t="b">
        <f t="shared" si="12"/>
        <v>1</v>
      </c>
      <c r="AD44" t="b">
        <f t="shared" si="13"/>
        <v>1</v>
      </c>
      <c r="AE44" t="b">
        <f t="shared" si="14"/>
        <v>1</v>
      </c>
      <c r="AG44" s="1">
        <v>2723346</v>
      </c>
      <c r="AH44" t="s">
        <v>580</v>
      </c>
      <c r="AI44">
        <v>560</v>
      </c>
      <c r="AJ44" t="s">
        <v>503</v>
      </c>
      <c r="AK44" s="2">
        <v>46220</v>
      </c>
      <c r="AL44" s="2">
        <v>46220</v>
      </c>
      <c r="AM44" s="3">
        <v>4</v>
      </c>
      <c r="AN44" t="s">
        <v>20</v>
      </c>
      <c r="AO44" s="3">
        <v>1800</v>
      </c>
      <c r="AP44" t="s">
        <v>581</v>
      </c>
      <c r="AR44" t="s">
        <v>528</v>
      </c>
      <c r="AS44" t="s">
        <v>23</v>
      </c>
    </row>
    <row r="45" spans="1:47" x14ac:dyDescent="0.25">
      <c r="A45" s="1">
        <v>2727931</v>
      </c>
      <c r="B45" t="s">
        <v>10</v>
      </c>
      <c r="C45">
        <v>540</v>
      </c>
      <c r="D45" t="s">
        <v>15</v>
      </c>
      <c r="E45" s="2">
        <v>46220</v>
      </c>
      <c r="F45" s="2">
        <v>46220</v>
      </c>
      <c r="G45" s="3">
        <v>44000</v>
      </c>
      <c r="H45" t="s">
        <v>16</v>
      </c>
      <c r="I45" s="3">
        <v>44000</v>
      </c>
      <c r="J45" t="s">
        <v>95</v>
      </c>
      <c r="K45" t="s">
        <v>4</v>
      </c>
      <c r="L45" t="s">
        <v>5</v>
      </c>
      <c r="M45" t="s">
        <v>6</v>
      </c>
      <c r="N45" t="s">
        <v>13</v>
      </c>
      <c r="O45" t="s">
        <v>96</v>
      </c>
      <c r="Q45" t="b">
        <f t="shared" si="0"/>
        <v>1</v>
      </c>
      <c r="R45" t="b">
        <f t="shared" si="1"/>
        <v>1</v>
      </c>
      <c r="S45" t="b">
        <f t="shared" si="2"/>
        <v>1</v>
      </c>
      <c r="T45" t="b">
        <f t="shared" si="3"/>
        <v>1</v>
      </c>
      <c r="U45" t="b">
        <f t="shared" si="4"/>
        <v>1</v>
      </c>
      <c r="V45" t="b">
        <f t="shared" si="5"/>
        <v>1</v>
      </c>
      <c r="W45" t="b">
        <f t="shared" si="6"/>
        <v>1</v>
      </c>
      <c r="X45" t="b">
        <f t="shared" si="7"/>
        <v>1</v>
      </c>
      <c r="Y45" t="b">
        <f t="shared" si="8"/>
        <v>1</v>
      </c>
      <c r="Z45" t="b">
        <f t="shared" si="9"/>
        <v>1</v>
      </c>
      <c r="AA45" t="b">
        <f t="shared" si="10"/>
        <v>1</v>
      </c>
      <c r="AB45" t="b">
        <f t="shared" si="11"/>
        <v>1</v>
      </c>
      <c r="AC45" t="b">
        <f t="shared" si="12"/>
        <v>1</v>
      </c>
      <c r="AD45" t="b">
        <f t="shared" si="13"/>
        <v>1</v>
      </c>
      <c r="AE45" t="b">
        <f t="shared" si="14"/>
        <v>1</v>
      </c>
      <c r="AG45" s="1">
        <v>2727931</v>
      </c>
      <c r="AH45" t="s">
        <v>507</v>
      </c>
      <c r="AI45">
        <v>540</v>
      </c>
      <c r="AJ45" t="s">
        <v>511</v>
      </c>
      <c r="AK45" s="2">
        <v>46220</v>
      </c>
      <c r="AL45" s="2">
        <v>46220</v>
      </c>
      <c r="AM45" s="3">
        <v>44000</v>
      </c>
      <c r="AN45" t="s">
        <v>16</v>
      </c>
      <c r="AO45" s="3">
        <v>44000</v>
      </c>
      <c r="AP45" t="s">
        <v>582</v>
      </c>
      <c r="AR45" t="s">
        <v>505</v>
      </c>
      <c r="AT45" t="s">
        <v>509</v>
      </c>
      <c r="AU45" t="s">
        <v>583</v>
      </c>
    </row>
    <row r="46" spans="1:47" x14ac:dyDescent="0.25">
      <c r="A46" s="1">
        <v>2729187</v>
      </c>
      <c r="B46" t="s">
        <v>14</v>
      </c>
      <c r="C46">
        <v>530</v>
      </c>
      <c r="D46" t="s">
        <v>15</v>
      </c>
      <c r="E46" s="2">
        <v>46220</v>
      </c>
      <c r="F46" s="2">
        <v>46220</v>
      </c>
      <c r="G46" s="3">
        <v>44000</v>
      </c>
      <c r="H46" t="s">
        <v>16</v>
      </c>
      <c r="I46" s="3">
        <v>44000</v>
      </c>
      <c r="J46" t="s">
        <v>17</v>
      </c>
      <c r="K46" t="s">
        <v>4</v>
      </c>
      <c r="L46" t="s">
        <v>5</v>
      </c>
      <c r="M46" t="s">
        <v>6</v>
      </c>
      <c r="N46" t="s">
        <v>7</v>
      </c>
      <c r="O46" t="s">
        <v>18</v>
      </c>
      <c r="Q46" t="b">
        <f t="shared" si="0"/>
        <v>1</v>
      </c>
      <c r="R46" t="b">
        <f t="shared" si="1"/>
        <v>1</v>
      </c>
      <c r="S46" t="b">
        <f t="shared" si="2"/>
        <v>1</v>
      </c>
      <c r="T46" t="b">
        <f t="shared" si="3"/>
        <v>1</v>
      </c>
      <c r="U46" t="b">
        <f t="shared" si="4"/>
        <v>1</v>
      </c>
      <c r="V46" t="b">
        <f t="shared" si="5"/>
        <v>1</v>
      </c>
      <c r="W46" t="b">
        <f t="shared" si="6"/>
        <v>1</v>
      </c>
      <c r="X46" t="b">
        <f t="shared" si="7"/>
        <v>1</v>
      </c>
      <c r="Y46" t="b">
        <f t="shared" si="8"/>
        <v>1</v>
      </c>
      <c r="Z46" t="b">
        <f t="shared" si="9"/>
        <v>1</v>
      </c>
      <c r="AA46" t="b">
        <f t="shared" si="10"/>
        <v>1</v>
      </c>
      <c r="AB46" t="b">
        <f t="shared" si="11"/>
        <v>1</v>
      </c>
      <c r="AC46" t="b">
        <f t="shared" si="12"/>
        <v>1</v>
      </c>
      <c r="AD46" t="b">
        <f t="shared" si="13"/>
        <v>1</v>
      </c>
      <c r="AE46" t="b">
        <f t="shared" si="14"/>
        <v>1</v>
      </c>
      <c r="AG46" s="1">
        <v>2729187</v>
      </c>
      <c r="AH46" t="s">
        <v>510</v>
      </c>
      <c r="AI46">
        <v>530</v>
      </c>
      <c r="AJ46" t="s">
        <v>511</v>
      </c>
      <c r="AK46" s="2">
        <v>46220</v>
      </c>
      <c r="AL46" s="2">
        <v>46220</v>
      </c>
      <c r="AM46" s="3">
        <v>44000</v>
      </c>
      <c r="AN46" t="s">
        <v>16</v>
      </c>
      <c r="AO46" s="3">
        <v>44000</v>
      </c>
      <c r="AP46" t="s">
        <v>512</v>
      </c>
      <c r="AR46" t="s">
        <v>505</v>
      </c>
      <c r="AU46" t="s">
        <v>513</v>
      </c>
    </row>
    <row r="47" spans="1:47" x14ac:dyDescent="0.25">
      <c r="A47" s="1">
        <v>2733550</v>
      </c>
      <c r="B47" t="s">
        <v>97</v>
      </c>
      <c r="C47">
        <v>550</v>
      </c>
      <c r="D47" t="s">
        <v>1</v>
      </c>
      <c r="E47" s="2">
        <v>46218</v>
      </c>
      <c r="F47" s="2">
        <v>46220</v>
      </c>
      <c r="G47" s="3">
        <v>88</v>
      </c>
      <c r="H47" t="s">
        <v>20</v>
      </c>
      <c r="I47" s="3">
        <v>41360</v>
      </c>
      <c r="J47" t="s">
        <v>98</v>
      </c>
      <c r="K47" t="s">
        <v>4</v>
      </c>
      <c r="L47" t="s">
        <v>5</v>
      </c>
      <c r="M47" t="s">
        <v>6</v>
      </c>
      <c r="N47" t="s">
        <v>7</v>
      </c>
      <c r="O47" t="s">
        <v>7</v>
      </c>
      <c r="Q47" t="b">
        <f t="shared" si="0"/>
        <v>1</v>
      </c>
      <c r="R47" t="b">
        <f t="shared" si="1"/>
        <v>1</v>
      </c>
      <c r="S47" t="b">
        <f t="shared" si="2"/>
        <v>1</v>
      </c>
      <c r="T47" t="b">
        <f t="shared" si="3"/>
        <v>1</v>
      </c>
      <c r="U47" t="b">
        <f t="shared" si="4"/>
        <v>1</v>
      </c>
      <c r="V47" t="b">
        <f t="shared" si="5"/>
        <v>1</v>
      </c>
      <c r="W47" t="b">
        <f t="shared" si="6"/>
        <v>1</v>
      </c>
      <c r="X47" t="b">
        <f t="shared" si="7"/>
        <v>1</v>
      </c>
      <c r="Y47" t="b">
        <f t="shared" si="8"/>
        <v>1</v>
      </c>
      <c r="Z47" t="b">
        <f t="shared" si="9"/>
        <v>1</v>
      </c>
      <c r="AA47" t="b">
        <f t="shared" si="10"/>
        <v>1</v>
      </c>
      <c r="AB47" t="b">
        <f t="shared" si="11"/>
        <v>1</v>
      </c>
      <c r="AC47" t="b">
        <f t="shared" si="12"/>
        <v>1</v>
      </c>
      <c r="AD47" t="b">
        <f t="shared" si="13"/>
        <v>1</v>
      </c>
      <c r="AE47" t="b">
        <f t="shared" si="14"/>
        <v>1</v>
      </c>
      <c r="AG47" s="1">
        <v>2733550</v>
      </c>
      <c r="AH47" t="s">
        <v>584</v>
      </c>
      <c r="AI47">
        <v>550</v>
      </c>
      <c r="AJ47" t="s">
        <v>503</v>
      </c>
      <c r="AK47" s="2">
        <v>46218</v>
      </c>
      <c r="AL47" s="2">
        <v>46220</v>
      </c>
      <c r="AM47" s="3">
        <v>88</v>
      </c>
      <c r="AN47" t="s">
        <v>20</v>
      </c>
      <c r="AO47" s="3">
        <v>41360</v>
      </c>
      <c r="AP47" t="s">
        <v>585</v>
      </c>
      <c r="AR47" t="s">
        <v>505</v>
      </c>
    </row>
    <row r="48" spans="1:47" x14ac:dyDescent="0.25">
      <c r="A48" s="1">
        <v>2733784</v>
      </c>
      <c r="B48" t="s">
        <v>99</v>
      </c>
      <c r="C48">
        <v>550</v>
      </c>
      <c r="D48" t="s">
        <v>1</v>
      </c>
      <c r="E48" s="2">
        <v>46216</v>
      </c>
      <c r="F48" s="2">
        <v>46220</v>
      </c>
      <c r="G48" s="3">
        <v>8</v>
      </c>
      <c r="H48" t="s">
        <v>11</v>
      </c>
      <c r="I48" s="3">
        <v>17600</v>
      </c>
      <c r="J48" t="s">
        <v>100</v>
      </c>
      <c r="K48" t="s">
        <v>4</v>
      </c>
      <c r="L48" t="s">
        <v>5</v>
      </c>
      <c r="M48" t="s">
        <v>6</v>
      </c>
      <c r="N48" t="s">
        <v>7</v>
      </c>
      <c r="O48" t="s">
        <v>7</v>
      </c>
      <c r="Q48" t="b">
        <f t="shared" si="0"/>
        <v>1</v>
      </c>
      <c r="R48" t="b">
        <f t="shared" si="1"/>
        <v>1</v>
      </c>
      <c r="S48" t="b">
        <f t="shared" si="2"/>
        <v>1</v>
      </c>
      <c r="T48" t="b">
        <f t="shared" si="3"/>
        <v>1</v>
      </c>
      <c r="U48" t="b">
        <f t="shared" si="4"/>
        <v>1</v>
      </c>
      <c r="V48" t="b">
        <f t="shared" si="5"/>
        <v>1</v>
      </c>
      <c r="W48" t="b">
        <f t="shared" si="6"/>
        <v>1</v>
      </c>
      <c r="X48" t="b">
        <f t="shared" si="7"/>
        <v>1</v>
      </c>
      <c r="Y48" t="b">
        <f t="shared" si="8"/>
        <v>1</v>
      </c>
      <c r="Z48" t="b">
        <f t="shared" si="9"/>
        <v>1</v>
      </c>
      <c r="AA48" t="b">
        <f t="shared" si="10"/>
        <v>1</v>
      </c>
      <c r="AB48" t="b">
        <f t="shared" si="11"/>
        <v>1</v>
      </c>
      <c r="AC48" t="b">
        <f t="shared" si="12"/>
        <v>1</v>
      </c>
      <c r="AD48" t="b">
        <f t="shared" si="13"/>
        <v>1</v>
      </c>
      <c r="AE48" t="b">
        <f t="shared" si="14"/>
        <v>1</v>
      </c>
      <c r="AG48" s="1">
        <v>2733784</v>
      </c>
      <c r="AH48" t="s">
        <v>586</v>
      </c>
      <c r="AI48">
        <v>550</v>
      </c>
      <c r="AJ48" t="s">
        <v>503</v>
      </c>
      <c r="AK48" s="2">
        <v>46216</v>
      </c>
      <c r="AL48" s="2">
        <v>46220</v>
      </c>
      <c r="AM48" s="3">
        <v>8</v>
      </c>
      <c r="AN48" t="s">
        <v>11</v>
      </c>
      <c r="AO48" s="3">
        <v>17600</v>
      </c>
      <c r="AP48" t="s">
        <v>587</v>
      </c>
      <c r="AR48" t="s">
        <v>505</v>
      </c>
    </row>
    <row r="49" spans="1:47" x14ac:dyDescent="0.25">
      <c r="A49" s="1">
        <v>2733784</v>
      </c>
      <c r="B49" t="s">
        <v>99</v>
      </c>
      <c r="C49">
        <v>550</v>
      </c>
      <c r="D49" t="s">
        <v>1</v>
      </c>
      <c r="E49" s="2">
        <v>46216</v>
      </c>
      <c r="F49" s="2">
        <v>46220</v>
      </c>
      <c r="G49" s="3">
        <v>11</v>
      </c>
      <c r="H49" t="s">
        <v>11</v>
      </c>
      <c r="I49" s="3">
        <v>24200</v>
      </c>
      <c r="J49" t="s">
        <v>101</v>
      </c>
      <c r="K49" t="s">
        <v>4</v>
      </c>
      <c r="L49" t="s">
        <v>5</v>
      </c>
      <c r="M49" t="s">
        <v>6</v>
      </c>
      <c r="N49" t="s">
        <v>7</v>
      </c>
      <c r="O49" t="s">
        <v>7</v>
      </c>
      <c r="Q49" t="b">
        <f t="shared" si="0"/>
        <v>1</v>
      </c>
      <c r="R49" t="b">
        <f t="shared" si="1"/>
        <v>1</v>
      </c>
      <c r="S49" t="b">
        <f t="shared" si="2"/>
        <v>1</v>
      </c>
      <c r="T49" t="b">
        <f t="shared" si="3"/>
        <v>1</v>
      </c>
      <c r="U49" t="b">
        <f t="shared" si="4"/>
        <v>1</v>
      </c>
      <c r="V49" t="b">
        <f t="shared" si="5"/>
        <v>1</v>
      </c>
      <c r="W49" t="b">
        <f t="shared" si="6"/>
        <v>1</v>
      </c>
      <c r="X49" t="b">
        <f t="shared" si="7"/>
        <v>1</v>
      </c>
      <c r="Y49" t="b">
        <f t="shared" si="8"/>
        <v>1</v>
      </c>
      <c r="Z49" t="b">
        <f t="shared" si="9"/>
        <v>1</v>
      </c>
      <c r="AA49" t="b">
        <f t="shared" si="10"/>
        <v>1</v>
      </c>
      <c r="AB49" t="b">
        <f t="shared" si="11"/>
        <v>1</v>
      </c>
      <c r="AC49" t="b">
        <f t="shared" si="12"/>
        <v>1</v>
      </c>
      <c r="AD49" t="b">
        <f t="shared" si="13"/>
        <v>1</v>
      </c>
      <c r="AE49" t="b">
        <f t="shared" si="14"/>
        <v>1</v>
      </c>
      <c r="AG49" s="1">
        <v>2733784</v>
      </c>
      <c r="AH49" t="s">
        <v>586</v>
      </c>
      <c r="AI49">
        <v>550</v>
      </c>
      <c r="AJ49" t="s">
        <v>503</v>
      </c>
      <c r="AK49" s="2">
        <v>46216</v>
      </c>
      <c r="AL49" s="2">
        <v>46220</v>
      </c>
      <c r="AM49" s="3">
        <v>11</v>
      </c>
      <c r="AN49" t="s">
        <v>11</v>
      </c>
      <c r="AO49" s="3">
        <v>24200</v>
      </c>
      <c r="AP49" t="s">
        <v>588</v>
      </c>
      <c r="AR49" t="s">
        <v>505</v>
      </c>
    </row>
    <row r="50" spans="1:47" x14ac:dyDescent="0.25">
      <c r="A50" s="1">
        <v>2734310</v>
      </c>
      <c r="B50" t="s">
        <v>14</v>
      </c>
      <c r="C50">
        <v>530</v>
      </c>
      <c r="D50" t="s">
        <v>15</v>
      </c>
      <c r="E50" s="2">
        <v>46220</v>
      </c>
      <c r="F50" s="2">
        <v>46220</v>
      </c>
      <c r="G50" s="3">
        <v>44000</v>
      </c>
      <c r="H50" t="s">
        <v>16</v>
      </c>
      <c r="I50" s="3">
        <v>44000</v>
      </c>
      <c r="J50" t="s">
        <v>17</v>
      </c>
      <c r="K50" t="s">
        <v>4</v>
      </c>
      <c r="L50" t="s">
        <v>5</v>
      </c>
      <c r="M50" t="s">
        <v>6</v>
      </c>
      <c r="N50" t="s">
        <v>7</v>
      </c>
      <c r="O50" t="s">
        <v>18</v>
      </c>
      <c r="Q50" t="b">
        <f t="shared" si="0"/>
        <v>1</v>
      </c>
      <c r="R50" t="b">
        <f t="shared" si="1"/>
        <v>1</v>
      </c>
      <c r="S50" t="b">
        <f t="shared" si="2"/>
        <v>1</v>
      </c>
      <c r="T50" t="b">
        <f t="shared" si="3"/>
        <v>1</v>
      </c>
      <c r="U50" t="b">
        <f t="shared" si="4"/>
        <v>1</v>
      </c>
      <c r="V50" t="b">
        <f t="shared" si="5"/>
        <v>1</v>
      </c>
      <c r="W50" t="b">
        <f t="shared" si="6"/>
        <v>1</v>
      </c>
      <c r="X50" t="b">
        <f t="shared" si="7"/>
        <v>1</v>
      </c>
      <c r="Y50" t="b">
        <f t="shared" si="8"/>
        <v>1</v>
      </c>
      <c r="Z50" t="b">
        <f t="shared" si="9"/>
        <v>1</v>
      </c>
      <c r="AA50" t="b">
        <f t="shared" si="10"/>
        <v>1</v>
      </c>
      <c r="AB50" t="b">
        <f t="shared" si="11"/>
        <v>1</v>
      </c>
      <c r="AC50" t="b">
        <f t="shared" si="12"/>
        <v>1</v>
      </c>
      <c r="AD50" t="b">
        <f t="shared" si="13"/>
        <v>1</v>
      </c>
      <c r="AE50" t="b">
        <f t="shared" si="14"/>
        <v>1</v>
      </c>
      <c r="AG50" s="1">
        <v>2734310</v>
      </c>
      <c r="AH50" t="s">
        <v>510</v>
      </c>
      <c r="AI50">
        <v>530</v>
      </c>
      <c r="AJ50" t="s">
        <v>511</v>
      </c>
      <c r="AK50" s="2">
        <v>46220</v>
      </c>
      <c r="AL50" s="2">
        <v>46220</v>
      </c>
      <c r="AM50" s="3">
        <v>44000</v>
      </c>
      <c r="AN50" t="s">
        <v>16</v>
      </c>
      <c r="AO50" s="3">
        <v>44000</v>
      </c>
      <c r="AP50" t="s">
        <v>512</v>
      </c>
      <c r="AR50" t="s">
        <v>505</v>
      </c>
      <c r="AU50" t="s">
        <v>513</v>
      </c>
    </row>
    <row r="51" spans="1:47" x14ac:dyDescent="0.25">
      <c r="A51" s="1">
        <v>2734311</v>
      </c>
      <c r="B51" t="s">
        <v>86</v>
      </c>
      <c r="C51">
        <v>540</v>
      </c>
      <c r="D51" t="s">
        <v>1</v>
      </c>
      <c r="E51" s="2">
        <v>46212</v>
      </c>
      <c r="F51" s="2">
        <v>46220</v>
      </c>
      <c r="G51" s="3">
        <v>18</v>
      </c>
      <c r="H51" t="s">
        <v>11</v>
      </c>
      <c r="I51" s="3">
        <v>39600</v>
      </c>
      <c r="J51" t="s">
        <v>87</v>
      </c>
      <c r="K51" t="s">
        <v>4</v>
      </c>
      <c r="L51" t="s">
        <v>22</v>
      </c>
      <c r="M51" t="s">
        <v>23</v>
      </c>
      <c r="N51" t="s">
        <v>7</v>
      </c>
      <c r="O51" t="s">
        <v>7</v>
      </c>
      <c r="Q51" t="b">
        <f t="shared" si="0"/>
        <v>1</v>
      </c>
      <c r="R51" t="b">
        <f t="shared" si="1"/>
        <v>1</v>
      </c>
      <c r="S51" t="b">
        <f t="shared" si="2"/>
        <v>1</v>
      </c>
      <c r="T51" t="b">
        <f t="shared" si="3"/>
        <v>1</v>
      </c>
      <c r="U51" t="b">
        <f t="shared" si="4"/>
        <v>1</v>
      </c>
      <c r="V51" t="b">
        <f t="shared" si="5"/>
        <v>1</v>
      </c>
      <c r="W51" t="b">
        <f t="shared" si="6"/>
        <v>1</v>
      </c>
      <c r="X51" t="b">
        <f t="shared" si="7"/>
        <v>1</v>
      </c>
      <c r="Y51" t="b">
        <f t="shared" si="8"/>
        <v>1</v>
      </c>
      <c r="Z51" t="b">
        <f t="shared" si="9"/>
        <v>1</v>
      </c>
      <c r="AA51" t="b">
        <f t="shared" si="10"/>
        <v>1</v>
      </c>
      <c r="AB51" t="b">
        <f t="shared" si="11"/>
        <v>1</v>
      </c>
      <c r="AC51" t="b">
        <f t="shared" si="12"/>
        <v>1</v>
      </c>
      <c r="AD51" t="b">
        <f t="shared" si="13"/>
        <v>1</v>
      </c>
      <c r="AE51" t="b">
        <f t="shared" si="14"/>
        <v>1</v>
      </c>
      <c r="AG51" s="1">
        <v>2734311</v>
      </c>
      <c r="AH51" t="s">
        <v>573</v>
      </c>
      <c r="AI51">
        <v>540</v>
      </c>
      <c r="AJ51" t="s">
        <v>503</v>
      </c>
      <c r="AK51" s="2">
        <v>46212</v>
      </c>
      <c r="AL51" s="2">
        <v>46220</v>
      </c>
      <c r="AM51" s="3">
        <v>18</v>
      </c>
      <c r="AN51" t="s">
        <v>11</v>
      </c>
      <c r="AO51" s="3">
        <v>39600</v>
      </c>
      <c r="AP51" t="s">
        <v>574</v>
      </c>
      <c r="AR51" t="s">
        <v>516</v>
      </c>
      <c r="AS51" t="s">
        <v>23</v>
      </c>
    </row>
    <row r="52" spans="1:47" x14ac:dyDescent="0.25">
      <c r="A52" s="1">
        <v>2734375</v>
      </c>
      <c r="B52" t="s">
        <v>102</v>
      </c>
      <c r="C52">
        <v>560</v>
      </c>
      <c r="D52" t="s">
        <v>1</v>
      </c>
      <c r="E52" s="2">
        <v>46220</v>
      </c>
      <c r="F52" s="2">
        <v>46220</v>
      </c>
      <c r="G52" s="3">
        <v>1</v>
      </c>
      <c r="H52" t="s">
        <v>20</v>
      </c>
      <c r="I52" s="3">
        <v>450</v>
      </c>
      <c r="J52" t="s">
        <v>103</v>
      </c>
      <c r="K52" t="s">
        <v>4</v>
      </c>
      <c r="L52" t="s">
        <v>40</v>
      </c>
      <c r="M52" t="s">
        <v>6</v>
      </c>
      <c r="N52" t="s">
        <v>7</v>
      </c>
      <c r="O52" t="s">
        <v>7</v>
      </c>
      <c r="Q52" t="b">
        <f t="shared" si="0"/>
        <v>1</v>
      </c>
      <c r="R52" t="b">
        <f t="shared" si="1"/>
        <v>1</v>
      </c>
      <c r="S52" t="b">
        <f t="shared" si="2"/>
        <v>1</v>
      </c>
      <c r="T52" t="b">
        <f t="shared" si="3"/>
        <v>1</v>
      </c>
      <c r="U52" t="b">
        <f t="shared" si="4"/>
        <v>1</v>
      </c>
      <c r="V52" t="b">
        <f t="shared" si="5"/>
        <v>1</v>
      </c>
      <c r="W52" t="b">
        <f t="shared" si="6"/>
        <v>1</v>
      </c>
      <c r="X52" t="b">
        <f t="shared" si="7"/>
        <v>1</v>
      </c>
      <c r="Y52" t="b">
        <f t="shared" si="8"/>
        <v>1</v>
      </c>
      <c r="Z52" t="b">
        <f t="shared" si="9"/>
        <v>1</v>
      </c>
      <c r="AA52" t="b">
        <f t="shared" si="10"/>
        <v>1</v>
      </c>
      <c r="AB52" t="b">
        <f t="shared" si="11"/>
        <v>1</v>
      </c>
      <c r="AC52" t="b">
        <f t="shared" si="12"/>
        <v>1</v>
      </c>
      <c r="AD52" t="b">
        <f t="shared" si="13"/>
        <v>1</v>
      </c>
      <c r="AE52" t="b">
        <f t="shared" si="14"/>
        <v>1</v>
      </c>
      <c r="AG52" s="1">
        <v>2734375</v>
      </c>
      <c r="AH52" t="s">
        <v>589</v>
      </c>
      <c r="AI52">
        <v>560</v>
      </c>
      <c r="AJ52" t="s">
        <v>503</v>
      </c>
      <c r="AK52" s="2">
        <v>46220</v>
      </c>
      <c r="AL52" s="2">
        <v>46220</v>
      </c>
      <c r="AM52" s="3">
        <v>1</v>
      </c>
      <c r="AN52" t="s">
        <v>20</v>
      </c>
      <c r="AO52" s="3">
        <v>450</v>
      </c>
      <c r="AP52" t="s">
        <v>590</v>
      </c>
      <c r="AR52" t="s">
        <v>531</v>
      </c>
    </row>
    <row r="53" spans="1:47" x14ac:dyDescent="0.25">
      <c r="A53" s="1">
        <v>2737236</v>
      </c>
      <c r="B53" t="s">
        <v>104</v>
      </c>
      <c r="C53">
        <v>560</v>
      </c>
      <c r="D53" t="s">
        <v>1</v>
      </c>
      <c r="E53" s="2">
        <v>46220</v>
      </c>
      <c r="F53" s="2">
        <v>46220</v>
      </c>
      <c r="G53" s="3">
        <v>8</v>
      </c>
      <c r="H53" t="s">
        <v>20</v>
      </c>
      <c r="I53" s="3">
        <v>3600</v>
      </c>
      <c r="J53" t="s">
        <v>105</v>
      </c>
      <c r="K53" t="s">
        <v>4</v>
      </c>
      <c r="L53" t="s">
        <v>40</v>
      </c>
      <c r="M53" t="s">
        <v>6</v>
      </c>
      <c r="N53" t="s">
        <v>7</v>
      </c>
      <c r="O53" t="s">
        <v>7</v>
      </c>
      <c r="Q53" t="b">
        <f t="shared" si="0"/>
        <v>1</v>
      </c>
      <c r="R53" t="b">
        <f t="shared" si="1"/>
        <v>1</v>
      </c>
      <c r="S53" t="b">
        <f t="shared" si="2"/>
        <v>1</v>
      </c>
      <c r="T53" t="b">
        <f t="shared" si="3"/>
        <v>1</v>
      </c>
      <c r="U53" t="b">
        <f t="shared" si="4"/>
        <v>1</v>
      </c>
      <c r="V53" t="b">
        <f t="shared" si="5"/>
        <v>1</v>
      </c>
      <c r="W53" t="b">
        <f t="shared" si="6"/>
        <v>1</v>
      </c>
      <c r="X53" t="b">
        <f t="shared" si="7"/>
        <v>1</v>
      </c>
      <c r="Y53" t="b">
        <f t="shared" si="8"/>
        <v>1</v>
      </c>
      <c r="Z53" t="b">
        <f t="shared" si="9"/>
        <v>1</v>
      </c>
      <c r="AA53" t="b">
        <f t="shared" si="10"/>
        <v>1</v>
      </c>
      <c r="AB53" t="b">
        <f t="shared" si="11"/>
        <v>1</v>
      </c>
      <c r="AC53" t="b">
        <f t="shared" si="12"/>
        <v>1</v>
      </c>
      <c r="AD53" t="b">
        <f t="shared" si="13"/>
        <v>1</v>
      </c>
      <c r="AE53" t="b">
        <f t="shared" si="14"/>
        <v>1</v>
      </c>
      <c r="AG53" s="1">
        <v>2737236</v>
      </c>
      <c r="AH53" t="s">
        <v>591</v>
      </c>
      <c r="AI53">
        <v>560</v>
      </c>
      <c r="AJ53" t="s">
        <v>503</v>
      </c>
      <c r="AK53" s="2">
        <v>46220</v>
      </c>
      <c r="AL53" s="2">
        <v>46220</v>
      </c>
      <c r="AM53" s="3">
        <v>8</v>
      </c>
      <c r="AN53" t="s">
        <v>20</v>
      </c>
      <c r="AO53" s="3">
        <v>3600</v>
      </c>
      <c r="AP53" t="s">
        <v>592</v>
      </c>
      <c r="AR53" t="s">
        <v>531</v>
      </c>
    </row>
    <row r="54" spans="1:47" x14ac:dyDescent="0.25">
      <c r="A54" s="1">
        <v>2737252</v>
      </c>
      <c r="B54" t="s">
        <v>106</v>
      </c>
      <c r="C54">
        <v>540</v>
      </c>
      <c r="D54" t="s">
        <v>1</v>
      </c>
      <c r="E54" s="2">
        <v>46220</v>
      </c>
      <c r="F54" s="2">
        <v>46220</v>
      </c>
      <c r="G54" s="3">
        <v>12</v>
      </c>
      <c r="H54" t="s">
        <v>20</v>
      </c>
      <c r="I54" s="3">
        <v>0</v>
      </c>
      <c r="J54" t="s">
        <v>107</v>
      </c>
      <c r="K54" t="s">
        <v>4</v>
      </c>
      <c r="L54" t="s">
        <v>108</v>
      </c>
      <c r="M54" t="s">
        <v>6</v>
      </c>
      <c r="N54" t="s">
        <v>7</v>
      </c>
      <c r="O54" t="s">
        <v>109</v>
      </c>
      <c r="Q54" t="b">
        <f t="shared" si="0"/>
        <v>1</v>
      </c>
      <c r="R54" t="b">
        <f t="shared" si="1"/>
        <v>1</v>
      </c>
      <c r="S54" t="b">
        <f t="shared" si="2"/>
        <v>1</v>
      </c>
      <c r="T54" t="b">
        <f t="shared" si="3"/>
        <v>1</v>
      </c>
      <c r="U54" t="b">
        <f t="shared" si="4"/>
        <v>1</v>
      </c>
      <c r="V54" t="b">
        <f t="shared" si="5"/>
        <v>1</v>
      </c>
      <c r="W54" t="b">
        <f t="shared" si="6"/>
        <v>1</v>
      </c>
      <c r="X54" t="b">
        <f t="shared" si="7"/>
        <v>1</v>
      </c>
      <c r="Y54" t="b">
        <f t="shared" si="8"/>
        <v>1</v>
      </c>
      <c r="Z54" t="b">
        <f t="shared" si="9"/>
        <v>1</v>
      </c>
      <c r="AA54" t="b">
        <f t="shared" si="10"/>
        <v>1</v>
      </c>
      <c r="AB54" t="b">
        <f t="shared" si="11"/>
        <v>1</v>
      </c>
      <c r="AC54" t="b">
        <f t="shared" si="12"/>
        <v>1</v>
      </c>
      <c r="AD54" t="b">
        <f t="shared" si="13"/>
        <v>1</v>
      </c>
      <c r="AE54" t="b">
        <f t="shared" si="14"/>
        <v>1</v>
      </c>
      <c r="AG54" s="1">
        <v>2737252</v>
      </c>
      <c r="AH54" t="s">
        <v>593</v>
      </c>
      <c r="AI54">
        <v>540</v>
      </c>
      <c r="AJ54" t="s">
        <v>503</v>
      </c>
      <c r="AK54" s="2">
        <v>46220</v>
      </c>
      <c r="AL54" s="2">
        <v>46220</v>
      </c>
      <c r="AM54" s="3">
        <v>12</v>
      </c>
      <c r="AN54" t="s">
        <v>20</v>
      </c>
      <c r="AO54" s="3">
        <v>0</v>
      </c>
      <c r="AP54" t="s">
        <v>594</v>
      </c>
      <c r="AR54" t="s">
        <v>595</v>
      </c>
      <c r="AU54" t="s">
        <v>596</v>
      </c>
    </row>
    <row r="55" spans="1:47" x14ac:dyDescent="0.25">
      <c r="A55" s="1">
        <v>2737334</v>
      </c>
      <c r="B55" t="s">
        <v>110</v>
      </c>
      <c r="C55">
        <v>550</v>
      </c>
      <c r="D55" t="s">
        <v>1</v>
      </c>
      <c r="E55" s="2">
        <v>46220</v>
      </c>
      <c r="F55" s="2">
        <v>46220</v>
      </c>
      <c r="G55" s="3">
        <v>12</v>
      </c>
      <c r="H55" t="s">
        <v>20</v>
      </c>
      <c r="I55" s="3">
        <v>5400</v>
      </c>
      <c r="J55" t="s">
        <v>111</v>
      </c>
      <c r="K55" t="s">
        <v>4</v>
      </c>
      <c r="L55" t="s">
        <v>40</v>
      </c>
      <c r="M55" t="s">
        <v>6</v>
      </c>
      <c r="N55" t="s">
        <v>7</v>
      </c>
      <c r="O55" t="s">
        <v>7</v>
      </c>
      <c r="Q55" t="b">
        <f t="shared" si="0"/>
        <v>1</v>
      </c>
      <c r="R55" t="b">
        <f t="shared" si="1"/>
        <v>1</v>
      </c>
      <c r="S55" t="b">
        <f t="shared" si="2"/>
        <v>1</v>
      </c>
      <c r="T55" t="b">
        <f t="shared" si="3"/>
        <v>1</v>
      </c>
      <c r="U55" t="b">
        <f t="shared" si="4"/>
        <v>1</v>
      </c>
      <c r="V55" t="b">
        <f t="shared" si="5"/>
        <v>1</v>
      </c>
      <c r="W55" t="b">
        <f t="shared" si="6"/>
        <v>1</v>
      </c>
      <c r="X55" t="b">
        <f t="shared" si="7"/>
        <v>1</v>
      </c>
      <c r="Y55" t="b">
        <f t="shared" si="8"/>
        <v>1</v>
      </c>
      <c r="Z55" t="b">
        <f t="shared" si="9"/>
        <v>1</v>
      </c>
      <c r="AA55" t="b">
        <f t="shared" si="10"/>
        <v>1</v>
      </c>
      <c r="AB55" t="b">
        <f t="shared" si="11"/>
        <v>1</v>
      </c>
      <c r="AC55" t="b">
        <f t="shared" si="12"/>
        <v>1</v>
      </c>
      <c r="AD55" t="b">
        <f t="shared" si="13"/>
        <v>1</v>
      </c>
      <c r="AE55" t="b">
        <f t="shared" si="14"/>
        <v>1</v>
      </c>
      <c r="AG55" s="1">
        <v>2737334</v>
      </c>
      <c r="AH55" t="s">
        <v>597</v>
      </c>
      <c r="AI55">
        <v>550</v>
      </c>
      <c r="AJ55" t="s">
        <v>503</v>
      </c>
      <c r="AK55" s="2">
        <v>46220</v>
      </c>
      <c r="AL55" s="2">
        <v>46220</v>
      </c>
      <c r="AM55" s="3">
        <v>12</v>
      </c>
      <c r="AN55" t="s">
        <v>20</v>
      </c>
      <c r="AO55" s="3">
        <v>5400</v>
      </c>
      <c r="AP55" t="s">
        <v>598</v>
      </c>
      <c r="AR55" t="s">
        <v>531</v>
      </c>
    </row>
    <row r="56" spans="1:47" x14ac:dyDescent="0.25">
      <c r="A56" s="1">
        <v>2738753</v>
      </c>
      <c r="B56" t="s">
        <v>112</v>
      </c>
      <c r="C56">
        <v>540</v>
      </c>
      <c r="D56" t="s">
        <v>1</v>
      </c>
      <c r="E56" s="2">
        <v>46211</v>
      </c>
      <c r="F56" s="2">
        <v>46220</v>
      </c>
      <c r="G56" s="3">
        <v>10</v>
      </c>
      <c r="H56" t="s">
        <v>2</v>
      </c>
      <c r="I56" s="3">
        <v>400</v>
      </c>
      <c r="J56" t="s">
        <v>113</v>
      </c>
      <c r="K56" t="s">
        <v>4</v>
      </c>
      <c r="L56" t="s">
        <v>37</v>
      </c>
      <c r="M56" t="s">
        <v>23</v>
      </c>
      <c r="N56" t="s">
        <v>7</v>
      </c>
      <c r="O56" t="s">
        <v>7</v>
      </c>
      <c r="Q56" t="b">
        <f t="shared" si="0"/>
        <v>1</v>
      </c>
      <c r="R56" t="b">
        <f t="shared" si="1"/>
        <v>1</v>
      </c>
      <c r="S56" t="b">
        <f t="shared" si="2"/>
        <v>1</v>
      </c>
      <c r="T56" t="b">
        <f t="shared" si="3"/>
        <v>1</v>
      </c>
      <c r="U56" t="b">
        <f t="shared" si="4"/>
        <v>1</v>
      </c>
      <c r="V56" t="b">
        <f t="shared" si="5"/>
        <v>1</v>
      </c>
      <c r="W56" t="b">
        <f t="shared" si="6"/>
        <v>1</v>
      </c>
      <c r="X56" t="b">
        <f t="shared" si="7"/>
        <v>1</v>
      </c>
      <c r="Y56" t="b">
        <f t="shared" si="8"/>
        <v>1</v>
      </c>
      <c r="Z56" t="b">
        <f t="shared" si="9"/>
        <v>1</v>
      </c>
      <c r="AA56" t="b">
        <f t="shared" si="10"/>
        <v>1</v>
      </c>
      <c r="AB56" t="b">
        <f t="shared" si="11"/>
        <v>1</v>
      </c>
      <c r="AC56" t="b">
        <f t="shared" si="12"/>
        <v>1</v>
      </c>
      <c r="AD56" t="b">
        <f t="shared" si="13"/>
        <v>1</v>
      </c>
      <c r="AE56" t="b">
        <f t="shared" si="14"/>
        <v>1</v>
      </c>
      <c r="AG56" s="1">
        <v>2738753</v>
      </c>
      <c r="AH56" t="s">
        <v>599</v>
      </c>
      <c r="AI56">
        <v>540</v>
      </c>
      <c r="AJ56" t="s">
        <v>503</v>
      </c>
      <c r="AK56" s="2">
        <v>46211</v>
      </c>
      <c r="AL56" s="2">
        <v>46220</v>
      </c>
      <c r="AM56" s="3">
        <v>10</v>
      </c>
      <c r="AN56" t="s">
        <v>2</v>
      </c>
      <c r="AO56" s="3">
        <v>400</v>
      </c>
      <c r="AP56" t="s">
        <v>600</v>
      </c>
      <c r="AR56" t="s">
        <v>528</v>
      </c>
      <c r="AS56" t="s">
        <v>23</v>
      </c>
    </row>
    <row r="57" spans="1:47" x14ac:dyDescent="0.25">
      <c r="A57" s="1">
        <v>2739767</v>
      </c>
      <c r="B57" t="s">
        <v>114</v>
      </c>
      <c r="C57">
        <v>560</v>
      </c>
      <c r="D57" t="s">
        <v>1</v>
      </c>
      <c r="E57" s="2">
        <v>46220</v>
      </c>
      <c r="F57" s="2">
        <v>46220</v>
      </c>
      <c r="G57" s="3">
        <v>8</v>
      </c>
      <c r="H57" t="s">
        <v>20</v>
      </c>
      <c r="I57" s="3">
        <v>3600</v>
      </c>
      <c r="J57" t="s">
        <v>115</v>
      </c>
      <c r="K57" t="s">
        <v>4</v>
      </c>
      <c r="L57" t="s">
        <v>37</v>
      </c>
      <c r="M57" t="s">
        <v>23</v>
      </c>
      <c r="N57" t="s">
        <v>7</v>
      </c>
      <c r="O57" t="s">
        <v>7</v>
      </c>
      <c r="Q57" t="b">
        <f t="shared" si="0"/>
        <v>1</v>
      </c>
      <c r="R57" t="b">
        <f t="shared" si="1"/>
        <v>1</v>
      </c>
      <c r="S57" t="b">
        <f t="shared" si="2"/>
        <v>1</v>
      </c>
      <c r="T57" t="b">
        <f t="shared" si="3"/>
        <v>1</v>
      </c>
      <c r="U57" t="b">
        <f t="shared" si="4"/>
        <v>1</v>
      </c>
      <c r="V57" t="b">
        <f t="shared" si="5"/>
        <v>1</v>
      </c>
      <c r="W57" t="b">
        <f t="shared" si="6"/>
        <v>1</v>
      </c>
      <c r="X57" t="b">
        <f t="shared" si="7"/>
        <v>1</v>
      </c>
      <c r="Y57" t="b">
        <f t="shared" si="8"/>
        <v>1</v>
      </c>
      <c r="Z57" t="b">
        <f t="shared" si="9"/>
        <v>1</v>
      </c>
      <c r="AA57" t="b">
        <f t="shared" si="10"/>
        <v>1</v>
      </c>
      <c r="AB57" t="b">
        <f t="shared" si="11"/>
        <v>1</v>
      </c>
      <c r="AC57" t="b">
        <f t="shared" si="12"/>
        <v>1</v>
      </c>
      <c r="AD57" t="b">
        <f t="shared" si="13"/>
        <v>1</v>
      </c>
      <c r="AE57" t="b">
        <f t="shared" si="14"/>
        <v>1</v>
      </c>
      <c r="AG57" s="1">
        <v>2739767</v>
      </c>
      <c r="AH57" t="s">
        <v>114</v>
      </c>
      <c r="AI57">
        <v>560</v>
      </c>
      <c r="AJ57" t="s">
        <v>503</v>
      </c>
      <c r="AK57" s="2">
        <v>46220</v>
      </c>
      <c r="AL57" s="2">
        <v>46220</v>
      </c>
      <c r="AM57" s="3">
        <v>8</v>
      </c>
      <c r="AN57" t="s">
        <v>20</v>
      </c>
      <c r="AO57" s="3">
        <v>3600</v>
      </c>
      <c r="AP57" t="s">
        <v>601</v>
      </c>
      <c r="AR57" t="s">
        <v>528</v>
      </c>
      <c r="AS57" t="s">
        <v>23</v>
      </c>
    </row>
    <row r="58" spans="1:47" x14ac:dyDescent="0.25">
      <c r="A58" s="1">
        <v>2724628</v>
      </c>
      <c r="B58" t="s">
        <v>116</v>
      </c>
      <c r="C58">
        <v>550</v>
      </c>
      <c r="D58" t="s">
        <v>1</v>
      </c>
      <c r="E58" s="2">
        <v>46223</v>
      </c>
      <c r="F58" s="2">
        <v>46223</v>
      </c>
      <c r="G58" s="3">
        <v>4</v>
      </c>
      <c r="H58" t="s">
        <v>11</v>
      </c>
      <c r="I58" s="3">
        <v>8800</v>
      </c>
      <c r="J58" t="s">
        <v>117</v>
      </c>
      <c r="K58" t="s">
        <v>4</v>
      </c>
      <c r="L58" t="s">
        <v>37</v>
      </c>
      <c r="M58" t="s">
        <v>23</v>
      </c>
      <c r="N58" t="s">
        <v>7</v>
      </c>
      <c r="O58" t="s">
        <v>118</v>
      </c>
      <c r="Q58" t="b">
        <f t="shared" si="0"/>
        <v>1</v>
      </c>
      <c r="R58" t="b">
        <f t="shared" si="1"/>
        <v>1</v>
      </c>
      <c r="S58" t="b">
        <f t="shared" si="2"/>
        <v>1</v>
      </c>
      <c r="T58" t="b">
        <f t="shared" si="3"/>
        <v>1</v>
      </c>
      <c r="U58" t="b">
        <f t="shared" si="4"/>
        <v>1</v>
      </c>
      <c r="V58" t="b">
        <f t="shared" si="5"/>
        <v>1</v>
      </c>
      <c r="W58" t="b">
        <f t="shared" si="6"/>
        <v>1</v>
      </c>
      <c r="X58" t="b">
        <f t="shared" si="7"/>
        <v>1</v>
      </c>
      <c r="Y58" t="b">
        <f t="shared" si="8"/>
        <v>1</v>
      </c>
      <c r="Z58" t="b">
        <f t="shared" si="9"/>
        <v>1</v>
      </c>
      <c r="AA58" t="b">
        <f t="shared" si="10"/>
        <v>1</v>
      </c>
      <c r="AB58" t="b">
        <f t="shared" si="11"/>
        <v>1</v>
      </c>
      <c r="AC58" t="b">
        <f t="shared" si="12"/>
        <v>1</v>
      </c>
      <c r="AD58" t="b">
        <f t="shared" si="13"/>
        <v>1</v>
      </c>
      <c r="AE58" t="b">
        <f t="shared" si="14"/>
        <v>1</v>
      </c>
      <c r="AG58" s="1">
        <v>2724628</v>
      </c>
      <c r="AH58" t="s">
        <v>602</v>
      </c>
      <c r="AI58">
        <v>550</v>
      </c>
      <c r="AJ58" t="s">
        <v>503</v>
      </c>
      <c r="AK58" s="2">
        <v>46223</v>
      </c>
      <c r="AL58" s="2">
        <v>46223</v>
      </c>
      <c r="AM58" s="3">
        <v>4</v>
      </c>
      <c r="AN58" t="s">
        <v>11</v>
      </c>
      <c r="AO58" s="3">
        <v>8800</v>
      </c>
      <c r="AP58" t="s">
        <v>603</v>
      </c>
      <c r="AR58" t="s">
        <v>528</v>
      </c>
      <c r="AS58" t="s">
        <v>23</v>
      </c>
      <c r="AU58" t="s">
        <v>604</v>
      </c>
    </row>
    <row r="59" spans="1:47" x14ac:dyDescent="0.25">
      <c r="A59" s="1">
        <v>2727477</v>
      </c>
      <c r="B59" t="s">
        <v>99</v>
      </c>
      <c r="C59">
        <v>540</v>
      </c>
      <c r="D59" t="s">
        <v>1</v>
      </c>
      <c r="E59" s="2">
        <v>46223</v>
      </c>
      <c r="F59" s="2">
        <v>46223</v>
      </c>
      <c r="G59" s="3">
        <v>3</v>
      </c>
      <c r="H59" t="s">
        <v>20</v>
      </c>
      <c r="I59" s="3">
        <v>1275</v>
      </c>
      <c r="J59" t="s">
        <v>119</v>
      </c>
      <c r="K59" t="s">
        <v>4</v>
      </c>
      <c r="L59" t="s">
        <v>30</v>
      </c>
      <c r="M59" t="s">
        <v>6</v>
      </c>
      <c r="N59" t="s">
        <v>7</v>
      </c>
      <c r="O59" t="s">
        <v>7</v>
      </c>
      <c r="Q59" t="b">
        <f t="shared" si="0"/>
        <v>1</v>
      </c>
      <c r="R59" t="b">
        <f t="shared" si="1"/>
        <v>1</v>
      </c>
      <c r="S59" t="b">
        <f t="shared" si="2"/>
        <v>1</v>
      </c>
      <c r="T59" t="b">
        <f t="shared" si="3"/>
        <v>1</v>
      </c>
      <c r="U59" t="b">
        <f t="shared" si="4"/>
        <v>1</v>
      </c>
      <c r="V59" t="b">
        <f t="shared" si="5"/>
        <v>1</v>
      </c>
      <c r="W59" t="b">
        <f t="shared" si="6"/>
        <v>1</v>
      </c>
      <c r="X59" t="b">
        <f t="shared" si="7"/>
        <v>1</v>
      </c>
      <c r="Y59" t="b">
        <f t="shared" si="8"/>
        <v>1</v>
      </c>
      <c r="Z59" t="b">
        <f t="shared" si="9"/>
        <v>1</v>
      </c>
      <c r="AA59" t="b">
        <f t="shared" si="10"/>
        <v>1</v>
      </c>
      <c r="AB59" t="b">
        <f t="shared" si="11"/>
        <v>1</v>
      </c>
      <c r="AC59" t="b">
        <f t="shared" si="12"/>
        <v>1</v>
      </c>
      <c r="AD59" t="b">
        <f t="shared" si="13"/>
        <v>1</v>
      </c>
      <c r="AE59" t="b">
        <f t="shared" si="14"/>
        <v>1</v>
      </c>
      <c r="AG59" s="1">
        <v>2727477</v>
      </c>
      <c r="AH59" t="s">
        <v>586</v>
      </c>
      <c r="AI59">
        <v>540</v>
      </c>
      <c r="AJ59" t="s">
        <v>503</v>
      </c>
      <c r="AK59" s="2">
        <v>46223</v>
      </c>
      <c r="AL59" s="2">
        <v>46223</v>
      </c>
      <c r="AM59" s="3">
        <v>3</v>
      </c>
      <c r="AN59" t="s">
        <v>20</v>
      </c>
      <c r="AO59" s="3">
        <v>1275</v>
      </c>
      <c r="AP59" t="s">
        <v>605</v>
      </c>
      <c r="AR59" t="s">
        <v>521</v>
      </c>
    </row>
    <row r="60" spans="1:47" x14ac:dyDescent="0.25">
      <c r="A60" s="1">
        <v>2727705</v>
      </c>
      <c r="B60" t="s">
        <v>99</v>
      </c>
      <c r="C60">
        <v>540</v>
      </c>
      <c r="D60" t="s">
        <v>1</v>
      </c>
      <c r="E60" s="2">
        <v>46223</v>
      </c>
      <c r="F60" s="2">
        <v>46223</v>
      </c>
      <c r="G60" s="3">
        <v>1</v>
      </c>
      <c r="H60" t="s">
        <v>20</v>
      </c>
      <c r="I60" s="3">
        <v>475</v>
      </c>
      <c r="J60" t="s">
        <v>120</v>
      </c>
      <c r="K60" t="s">
        <v>4</v>
      </c>
      <c r="L60" t="s">
        <v>108</v>
      </c>
      <c r="M60" t="s">
        <v>6</v>
      </c>
      <c r="N60" t="s">
        <v>7</v>
      </c>
      <c r="O60" t="s">
        <v>7</v>
      </c>
      <c r="Q60" t="b">
        <f t="shared" si="0"/>
        <v>1</v>
      </c>
      <c r="R60" t="b">
        <f t="shared" si="1"/>
        <v>1</v>
      </c>
      <c r="S60" t="b">
        <f t="shared" si="2"/>
        <v>1</v>
      </c>
      <c r="T60" t="b">
        <f t="shared" si="3"/>
        <v>1</v>
      </c>
      <c r="U60" t="b">
        <f t="shared" si="4"/>
        <v>1</v>
      </c>
      <c r="V60" t="b">
        <f t="shared" si="5"/>
        <v>1</v>
      </c>
      <c r="W60" t="b">
        <f t="shared" si="6"/>
        <v>1</v>
      </c>
      <c r="X60" t="b">
        <f t="shared" si="7"/>
        <v>1</v>
      </c>
      <c r="Y60" t="b">
        <f t="shared" si="8"/>
        <v>1</v>
      </c>
      <c r="Z60" t="b">
        <f t="shared" si="9"/>
        <v>1</v>
      </c>
      <c r="AA60" t="b">
        <f t="shared" si="10"/>
        <v>1</v>
      </c>
      <c r="AB60" t="b">
        <f t="shared" si="11"/>
        <v>1</v>
      </c>
      <c r="AC60" t="b">
        <f t="shared" si="12"/>
        <v>1</v>
      </c>
      <c r="AD60" t="b">
        <f t="shared" si="13"/>
        <v>1</v>
      </c>
      <c r="AE60" t="b">
        <f t="shared" si="14"/>
        <v>1</v>
      </c>
      <c r="AG60" s="1">
        <v>2727705</v>
      </c>
      <c r="AH60" t="s">
        <v>586</v>
      </c>
      <c r="AI60">
        <v>540</v>
      </c>
      <c r="AJ60" t="s">
        <v>503</v>
      </c>
      <c r="AK60" s="2">
        <v>46223</v>
      </c>
      <c r="AL60" s="2">
        <v>46223</v>
      </c>
      <c r="AM60" s="3">
        <v>1</v>
      </c>
      <c r="AN60" t="s">
        <v>20</v>
      </c>
      <c r="AO60" s="3">
        <v>475</v>
      </c>
      <c r="AP60" t="s">
        <v>606</v>
      </c>
      <c r="AR60" t="s">
        <v>595</v>
      </c>
    </row>
    <row r="61" spans="1:47" x14ac:dyDescent="0.25">
      <c r="A61" s="1">
        <v>2729815</v>
      </c>
      <c r="B61" t="s">
        <v>121</v>
      </c>
      <c r="C61">
        <v>540</v>
      </c>
      <c r="D61" t="s">
        <v>1</v>
      </c>
      <c r="E61" s="2">
        <v>46217</v>
      </c>
      <c r="F61" s="2">
        <v>46223</v>
      </c>
      <c r="G61" s="3">
        <v>88</v>
      </c>
      <c r="H61" t="s">
        <v>20</v>
      </c>
      <c r="I61" s="3">
        <v>38808</v>
      </c>
      <c r="J61" t="s">
        <v>122</v>
      </c>
      <c r="K61" t="s">
        <v>4</v>
      </c>
      <c r="L61" t="s">
        <v>5</v>
      </c>
      <c r="M61" t="s">
        <v>6</v>
      </c>
      <c r="N61" t="s">
        <v>123</v>
      </c>
      <c r="O61" t="s">
        <v>7</v>
      </c>
      <c r="Q61" t="b">
        <f t="shared" si="0"/>
        <v>1</v>
      </c>
      <c r="R61" t="b">
        <f t="shared" si="1"/>
        <v>1</v>
      </c>
      <c r="S61" t="b">
        <f t="shared" si="2"/>
        <v>1</v>
      </c>
      <c r="T61" t="b">
        <f t="shared" si="3"/>
        <v>1</v>
      </c>
      <c r="U61" t="b">
        <f t="shared" si="4"/>
        <v>1</v>
      </c>
      <c r="V61" t="b">
        <f t="shared" si="5"/>
        <v>1</v>
      </c>
      <c r="W61" t="b">
        <f t="shared" si="6"/>
        <v>1</v>
      </c>
      <c r="X61" t="b">
        <f t="shared" si="7"/>
        <v>1</v>
      </c>
      <c r="Y61" t="b">
        <f t="shared" si="8"/>
        <v>1</v>
      </c>
      <c r="Z61" t="b">
        <f t="shared" si="9"/>
        <v>1</v>
      </c>
      <c r="AA61" t="b">
        <f t="shared" si="10"/>
        <v>1</v>
      </c>
      <c r="AB61" t="b">
        <f t="shared" si="11"/>
        <v>1</v>
      </c>
      <c r="AC61" t="b">
        <f t="shared" si="12"/>
        <v>1</v>
      </c>
      <c r="AD61" t="b">
        <f t="shared" si="13"/>
        <v>1</v>
      </c>
      <c r="AE61" t="b">
        <f t="shared" si="14"/>
        <v>1</v>
      </c>
      <c r="AG61" s="1">
        <v>2729815</v>
      </c>
      <c r="AH61" t="s">
        <v>607</v>
      </c>
      <c r="AI61">
        <v>540</v>
      </c>
      <c r="AJ61" t="s">
        <v>503</v>
      </c>
      <c r="AK61" s="2">
        <v>46217</v>
      </c>
      <c r="AL61" s="2">
        <v>46223</v>
      </c>
      <c r="AM61" s="3">
        <v>88</v>
      </c>
      <c r="AN61" t="s">
        <v>20</v>
      </c>
      <c r="AO61" s="3">
        <v>38808</v>
      </c>
      <c r="AP61" t="s">
        <v>608</v>
      </c>
      <c r="AR61" t="s">
        <v>505</v>
      </c>
      <c r="AT61" t="s">
        <v>609</v>
      </c>
    </row>
    <row r="62" spans="1:47" x14ac:dyDescent="0.25">
      <c r="A62" s="1">
        <v>2732053</v>
      </c>
      <c r="B62" t="s">
        <v>124</v>
      </c>
      <c r="C62">
        <v>550</v>
      </c>
      <c r="D62" t="s">
        <v>1</v>
      </c>
      <c r="E62" s="2">
        <v>46223</v>
      </c>
      <c r="F62" s="2">
        <v>46223</v>
      </c>
      <c r="G62" s="3">
        <v>15</v>
      </c>
      <c r="H62" t="s">
        <v>11</v>
      </c>
      <c r="I62" s="3">
        <v>40500</v>
      </c>
      <c r="J62" t="s">
        <v>125</v>
      </c>
      <c r="K62" t="s">
        <v>4</v>
      </c>
      <c r="L62" t="s">
        <v>126</v>
      </c>
      <c r="M62" t="s">
        <v>23</v>
      </c>
      <c r="N62" t="s">
        <v>7</v>
      </c>
      <c r="O62" t="s">
        <v>7</v>
      </c>
      <c r="Q62" t="b">
        <f t="shared" si="0"/>
        <v>1</v>
      </c>
      <c r="R62" t="b">
        <f t="shared" si="1"/>
        <v>1</v>
      </c>
      <c r="S62" t="b">
        <f t="shared" si="2"/>
        <v>1</v>
      </c>
      <c r="T62" t="b">
        <f t="shared" si="3"/>
        <v>1</v>
      </c>
      <c r="U62" t="b">
        <f t="shared" si="4"/>
        <v>1</v>
      </c>
      <c r="V62" t="b">
        <f t="shared" si="5"/>
        <v>1</v>
      </c>
      <c r="W62" t="b">
        <f t="shared" si="6"/>
        <v>1</v>
      </c>
      <c r="X62" t="b">
        <f t="shared" si="7"/>
        <v>1</v>
      </c>
      <c r="Y62" t="b">
        <f t="shared" si="8"/>
        <v>1</v>
      </c>
      <c r="Z62" t="b">
        <f t="shared" si="9"/>
        <v>1</v>
      </c>
      <c r="AA62" t="b">
        <f t="shared" si="10"/>
        <v>1</v>
      </c>
      <c r="AB62" t="b">
        <f t="shared" si="11"/>
        <v>1</v>
      </c>
      <c r="AC62" t="b">
        <f t="shared" si="12"/>
        <v>1</v>
      </c>
      <c r="AD62" t="b">
        <f t="shared" si="13"/>
        <v>1</v>
      </c>
      <c r="AE62" t="b">
        <f t="shared" si="14"/>
        <v>1</v>
      </c>
      <c r="AG62" s="1">
        <v>2732053</v>
      </c>
      <c r="AH62" t="s">
        <v>610</v>
      </c>
      <c r="AI62">
        <v>550</v>
      </c>
      <c r="AJ62" t="s">
        <v>503</v>
      </c>
      <c r="AK62" s="2">
        <v>46223</v>
      </c>
      <c r="AL62" s="2">
        <v>46223</v>
      </c>
      <c r="AM62" s="3">
        <v>15</v>
      </c>
      <c r="AN62" t="s">
        <v>11</v>
      </c>
      <c r="AO62" s="3">
        <v>40500</v>
      </c>
      <c r="AP62" t="s">
        <v>611</v>
      </c>
      <c r="AR62" t="s">
        <v>612</v>
      </c>
      <c r="AS62" t="s">
        <v>23</v>
      </c>
    </row>
    <row r="63" spans="1:47" x14ac:dyDescent="0.25">
      <c r="A63" s="1">
        <v>2732054</v>
      </c>
      <c r="B63" t="s">
        <v>0</v>
      </c>
      <c r="C63">
        <v>550</v>
      </c>
      <c r="D63" t="s">
        <v>1</v>
      </c>
      <c r="E63" s="2">
        <v>46223</v>
      </c>
      <c r="F63" s="2">
        <v>46223</v>
      </c>
      <c r="G63" s="3">
        <v>1</v>
      </c>
      <c r="H63" t="s">
        <v>20</v>
      </c>
      <c r="I63" s="3">
        <v>450</v>
      </c>
      <c r="J63" t="s">
        <v>127</v>
      </c>
      <c r="K63" t="s">
        <v>4</v>
      </c>
      <c r="L63" t="s">
        <v>128</v>
      </c>
      <c r="M63" t="s">
        <v>6</v>
      </c>
      <c r="N63" t="s">
        <v>7</v>
      </c>
      <c r="O63" t="s">
        <v>7</v>
      </c>
      <c r="Q63" t="b">
        <f t="shared" si="0"/>
        <v>1</v>
      </c>
      <c r="R63" t="b">
        <f t="shared" si="1"/>
        <v>1</v>
      </c>
      <c r="S63" t="b">
        <f t="shared" si="2"/>
        <v>1</v>
      </c>
      <c r="T63" t="b">
        <f t="shared" si="3"/>
        <v>1</v>
      </c>
      <c r="U63" t="b">
        <f t="shared" si="4"/>
        <v>1</v>
      </c>
      <c r="V63" t="b">
        <f t="shared" si="5"/>
        <v>1</v>
      </c>
      <c r="W63" t="b">
        <f t="shared" si="6"/>
        <v>1</v>
      </c>
      <c r="X63" t="b">
        <f t="shared" si="7"/>
        <v>1</v>
      </c>
      <c r="Y63" t="b">
        <f t="shared" si="8"/>
        <v>1</v>
      </c>
      <c r="Z63" t="b">
        <f t="shared" si="9"/>
        <v>1</v>
      </c>
      <c r="AA63" t="b">
        <f t="shared" si="10"/>
        <v>1</v>
      </c>
      <c r="AB63" t="b">
        <f t="shared" si="11"/>
        <v>1</v>
      </c>
      <c r="AC63" t="b">
        <f t="shared" si="12"/>
        <v>1</v>
      </c>
      <c r="AD63" t="b">
        <f t="shared" si="13"/>
        <v>1</v>
      </c>
      <c r="AE63" t="b">
        <f t="shared" si="14"/>
        <v>1</v>
      </c>
      <c r="AG63" s="1">
        <v>2732054</v>
      </c>
      <c r="AH63" t="s">
        <v>502</v>
      </c>
      <c r="AI63">
        <v>550</v>
      </c>
      <c r="AJ63" t="s">
        <v>503</v>
      </c>
      <c r="AK63" s="2">
        <v>46223</v>
      </c>
      <c r="AL63" s="2">
        <v>46223</v>
      </c>
      <c r="AM63" s="3">
        <v>1</v>
      </c>
      <c r="AN63" t="s">
        <v>20</v>
      </c>
      <c r="AO63" s="3">
        <v>450</v>
      </c>
      <c r="AP63" t="s">
        <v>613</v>
      </c>
      <c r="AR63" t="s">
        <v>614</v>
      </c>
    </row>
    <row r="64" spans="1:47" x14ac:dyDescent="0.25">
      <c r="A64" s="1">
        <v>2732782</v>
      </c>
      <c r="B64" t="s">
        <v>129</v>
      </c>
      <c r="C64">
        <v>525</v>
      </c>
      <c r="D64" t="s">
        <v>1</v>
      </c>
      <c r="E64" s="2">
        <v>46211</v>
      </c>
      <c r="F64" s="2">
        <v>46223</v>
      </c>
      <c r="G64" s="3">
        <v>40</v>
      </c>
      <c r="H64" t="s">
        <v>20</v>
      </c>
      <c r="I64" s="3">
        <v>18000</v>
      </c>
      <c r="J64" t="s">
        <v>64</v>
      </c>
      <c r="K64" t="s">
        <v>130</v>
      </c>
      <c r="L64" t="s">
        <v>37</v>
      </c>
      <c r="M64" t="s">
        <v>6</v>
      </c>
      <c r="N64" t="s">
        <v>7</v>
      </c>
      <c r="O64" t="s">
        <v>118</v>
      </c>
      <c r="Q64" t="b">
        <f t="shared" si="0"/>
        <v>1</v>
      </c>
      <c r="R64" t="b">
        <f t="shared" si="1"/>
        <v>1</v>
      </c>
      <c r="S64" t="b">
        <f t="shared" si="2"/>
        <v>1</v>
      </c>
      <c r="T64" t="b">
        <f t="shared" si="3"/>
        <v>1</v>
      </c>
      <c r="U64" t="b">
        <f t="shared" si="4"/>
        <v>1</v>
      </c>
      <c r="V64" t="b">
        <f t="shared" si="5"/>
        <v>1</v>
      </c>
      <c r="W64" t="b">
        <f t="shared" si="6"/>
        <v>1</v>
      </c>
      <c r="X64" t="b">
        <f t="shared" si="7"/>
        <v>1</v>
      </c>
      <c r="Y64" t="b">
        <f t="shared" si="8"/>
        <v>1</v>
      </c>
      <c r="Z64" t="b">
        <f t="shared" si="9"/>
        <v>1</v>
      </c>
      <c r="AA64" t="b">
        <f t="shared" si="10"/>
        <v>1</v>
      </c>
      <c r="AB64" t="b">
        <f t="shared" si="11"/>
        <v>1</v>
      </c>
      <c r="AC64" t="b">
        <f t="shared" si="12"/>
        <v>1</v>
      </c>
      <c r="AD64" t="b">
        <f t="shared" si="13"/>
        <v>1</v>
      </c>
      <c r="AE64" t="b">
        <f t="shared" si="14"/>
        <v>1</v>
      </c>
      <c r="AG64" s="1">
        <v>2732782</v>
      </c>
      <c r="AH64" t="s">
        <v>615</v>
      </c>
      <c r="AI64">
        <v>525</v>
      </c>
      <c r="AJ64" t="s">
        <v>503</v>
      </c>
      <c r="AK64" s="2">
        <v>46211</v>
      </c>
      <c r="AL64" s="2">
        <v>46223</v>
      </c>
      <c r="AM64" s="3">
        <v>40</v>
      </c>
      <c r="AN64" t="s">
        <v>20</v>
      </c>
      <c r="AO64" s="3">
        <v>18000</v>
      </c>
      <c r="AP64" t="s">
        <v>552</v>
      </c>
      <c r="AQ64" t="s">
        <v>130</v>
      </c>
      <c r="AR64" t="s">
        <v>528</v>
      </c>
      <c r="AU64" t="s">
        <v>604</v>
      </c>
    </row>
    <row r="65" spans="1:47" x14ac:dyDescent="0.25">
      <c r="A65" s="1">
        <v>2733555</v>
      </c>
      <c r="B65" t="s">
        <v>131</v>
      </c>
      <c r="C65">
        <v>550</v>
      </c>
      <c r="D65" t="s">
        <v>1</v>
      </c>
      <c r="E65" s="2">
        <v>46223</v>
      </c>
      <c r="F65" s="2">
        <v>46223</v>
      </c>
      <c r="G65" s="3">
        <v>4</v>
      </c>
      <c r="H65" t="s">
        <v>20</v>
      </c>
      <c r="I65" s="3">
        <v>1800</v>
      </c>
      <c r="J65" t="s">
        <v>132</v>
      </c>
      <c r="K65" t="s">
        <v>4</v>
      </c>
      <c r="L65" t="s">
        <v>37</v>
      </c>
      <c r="M65" t="s">
        <v>23</v>
      </c>
      <c r="N65" t="s">
        <v>7</v>
      </c>
      <c r="O65" t="s">
        <v>7</v>
      </c>
      <c r="Q65" t="b">
        <f t="shared" si="0"/>
        <v>1</v>
      </c>
      <c r="R65" t="b">
        <f t="shared" si="1"/>
        <v>1</v>
      </c>
      <c r="S65" t="b">
        <f t="shared" si="2"/>
        <v>1</v>
      </c>
      <c r="T65" t="b">
        <f t="shared" si="3"/>
        <v>1</v>
      </c>
      <c r="U65" t="b">
        <f t="shared" si="4"/>
        <v>1</v>
      </c>
      <c r="V65" t="b">
        <f t="shared" si="5"/>
        <v>1</v>
      </c>
      <c r="W65" t="b">
        <f t="shared" si="6"/>
        <v>1</v>
      </c>
      <c r="X65" t="b">
        <f t="shared" si="7"/>
        <v>1</v>
      </c>
      <c r="Y65" t="b">
        <f t="shared" si="8"/>
        <v>1</v>
      </c>
      <c r="Z65" t="b">
        <f t="shared" si="9"/>
        <v>1</v>
      </c>
      <c r="AA65" t="b">
        <f t="shared" si="10"/>
        <v>1</v>
      </c>
      <c r="AB65" t="b">
        <f t="shared" si="11"/>
        <v>1</v>
      </c>
      <c r="AC65" t="b">
        <f t="shared" si="12"/>
        <v>1</v>
      </c>
      <c r="AD65" t="b">
        <f t="shared" si="13"/>
        <v>1</v>
      </c>
      <c r="AE65" t="b">
        <f t="shared" si="14"/>
        <v>1</v>
      </c>
      <c r="AG65" s="1">
        <v>2733555</v>
      </c>
      <c r="AH65" t="s">
        <v>616</v>
      </c>
      <c r="AI65">
        <v>550</v>
      </c>
      <c r="AJ65" t="s">
        <v>503</v>
      </c>
      <c r="AK65" s="2">
        <v>46223</v>
      </c>
      <c r="AL65" s="2">
        <v>46223</v>
      </c>
      <c r="AM65" s="3">
        <v>4</v>
      </c>
      <c r="AN65" t="s">
        <v>20</v>
      </c>
      <c r="AO65" s="3">
        <v>1800</v>
      </c>
      <c r="AP65" t="s">
        <v>617</v>
      </c>
      <c r="AR65" t="s">
        <v>528</v>
      </c>
      <c r="AS65" t="s">
        <v>23</v>
      </c>
    </row>
    <row r="66" spans="1:47" x14ac:dyDescent="0.25">
      <c r="A66" s="1">
        <v>2733555</v>
      </c>
      <c r="B66" t="s">
        <v>131</v>
      </c>
      <c r="C66">
        <v>550</v>
      </c>
      <c r="D66" t="s">
        <v>1</v>
      </c>
      <c r="E66" s="2">
        <v>46223</v>
      </c>
      <c r="F66" s="2">
        <v>46223</v>
      </c>
      <c r="G66" s="3">
        <v>1</v>
      </c>
      <c r="H66" t="s">
        <v>11</v>
      </c>
      <c r="I66" s="3">
        <v>2700</v>
      </c>
      <c r="J66" t="s">
        <v>133</v>
      </c>
      <c r="K66" t="s">
        <v>4</v>
      </c>
      <c r="L66" t="s">
        <v>37</v>
      </c>
      <c r="M66" t="s">
        <v>23</v>
      </c>
      <c r="N66" t="s">
        <v>7</v>
      </c>
      <c r="O66" t="s">
        <v>7</v>
      </c>
      <c r="Q66" t="b">
        <f t="shared" si="0"/>
        <v>1</v>
      </c>
      <c r="R66" t="b">
        <f t="shared" si="1"/>
        <v>1</v>
      </c>
      <c r="S66" t="b">
        <f t="shared" si="2"/>
        <v>1</v>
      </c>
      <c r="T66" t="b">
        <f t="shared" si="3"/>
        <v>1</v>
      </c>
      <c r="U66" t="b">
        <f t="shared" si="4"/>
        <v>1</v>
      </c>
      <c r="V66" t="b">
        <f t="shared" si="5"/>
        <v>1</v>
      </c>
      <c r="W66" t="b">
        <f t="shared" si="6"/>
        <v>1</v>
      </c>
      <c r="X66" t="b">
        <f t="shared" si="7"/>
        <v>1</v>
      </c>
      <c r="Y66" t="b">
        <f t="shared" si="8"/>
        <v>1</v>
      </c>
      <c r="Z66" t="b">
        <f t="shared" si="9"/>
        <v>1</v>
      </c>
      <c r="AA66" t="b">
        <f t="shared" si="10"/>
        <v>1</v>
      </c>
      <c r="AB66" t="b">
        <f t="shared" si="11"/>
        <v>1</v>
      </c>
      <c r="AC66" t="b">
        <f t="shared" si="12"/>
        <v>1</v>
      </c>
      <c r="AD66" t="b">
        <f t="shared" si="13"/>
        <v>1</v>
      </c>
      <c r="AE66" t="b">
        <f t="shared" si="14"/>
        <v>1</v>
      </c>
      <c r="AG66" s="1">
        <v>2733555</v>
      </c>
      <c r="AH66" t="s">
        <v>616</v>
      </c>
      <c r="AI66">
        <v>550</v>
      </c>
      <c r="AJ66" t="s">
        <v>503</v>
      </c>
      <c r="AK66" s="2">
        <v>46223</v>
      </c>
      <c r="AL66" s="2">
        <v>46223</v>
      </c>
      <c r="AM66" s="3">
        <v>1</v>
      </c>
      <c r="AN66" t="s">
        <v>11</v>
      </c>
      <c r="AO66" s="3">
        <v>2700</v>
      </c>
      <c r="AP66" t="s">
        <v>618</v>
      </c>
      <c r="AR66" t="s">
        <v>528</v>
      </c>
      <c r="AS66" t="s">
        <v>23</v>
      </c>
    </row>
    <row r="67" spans="1:47" x14ac:dyDescent="0.25">
      <c r="A67" s="1">
        <v>2737350</v>
      </c>
      <c r="B67" t="s">
        <v>134</v>
      </c>
      <c r="C67">
        <v>540</v>
      </c>
      <c r="D67" t="s">
        <v>1</v>
      </c>
      <c r="E67" s="2">
        <v>46211</v>
      </c>
      <c r="F67" s="2">
        <v>46223</v>
      </c>
      <c r="G67" s="3">
        <v>4</v>
      </c>
      <c r="H67" t="s">
        <v>20</v>
      </c>
      <c r="I67" s="3">
        <v>1800</v>
      </c>
      <c r="J67" t="s">
        <v>135</v>
      </c>
      <c r="K67" t="s">
        <v>4</v>
      </c>
      <c r="L67" t="s">
        <v>37</v>
      </c>
      <c r="M67" t="s">
        <v>23</v>
      </c>
      <c r="N67" t="s">
        <v>7</v>
      </c>
      <c r="O67" t="s">
        <v>7</v>
      </c>
      <c r="Q67" t="b">
        <f t="shared" si="0"/>
        <v>1</v>
      </c>
      <c r="R67" t="b">
        <f t="shared" si="1"/>
        <v>1</v>
      </c>
      <c r="S67" t="b">
        <f t="shared" si="2"/>
        <v>1</v>
      </c>
      <c r="T67" t="b">
        <f t="shared" si="3"/>
        <v>1</v>
      </c>
      <c r="U67" t="b">
        <f t="shared" si="4"/>
        <v>1</v>
      </c>
      <c r="V67" t="b">
        <f t="shared" si="5"/>
        <v>1</v>
      </c>
      <c r="W67" t="b">
        <f t="shared" si="6"/>
        <v>1</v>
      </c>
      <c r="X67" t="b">
        <f t="shared" si="7"/>
        <v>1</v>
      </c>
      <c r="Y67" t="b">
        <f t="shared" si="8"/>
        <v>1</v>
      </c>
      <c r="Z67" t="b">
        <f t="shared" si="9"/>
        <v>1</v>
      </c>
      <c r="AA67" t="b">
        <f t="shared" si="10"/>
        <v>1</v>
      </c>
      <c r="AB67" t="b">
        <f t="shared" si="11"/>
        <v>1</v>
      </c>
      <c r="AC67" t="b">
        <f t="shared" si="12"/>
        <v>1</v>
      </c>
      <c r="AD67" t="b">
        <f t="shared" si="13"/>
        <v>1</v>
      </c>
      <c r="AE67" t="b">
        <f t="shared" si="14"/>
        <v>1</v>
      </c>
      <c r="AG67" s="1">
        <v>2737350</v>
      </c>
      <c r="AH67" t="s">
        <v>619</v>
      </c>
      <c r="AI67">
        <v>540</v>
      </c>
      <c r="AJ67" t="s">
        <v>503</v>
      </c>
      <c r="AK67" s="2">
        <v>46211</v>
      </c>
      <c r="AL67" s="2">
        <v>46223</v>
      </c>
      <c r="AM67" s="3">
        <v>4</v>
      </c>
      <c r="AN67" t="s">
        <v>20</v>
      </c>
      <c r="AO67" s="3">
        <v>1800</v>
      </c>
      <c r="AP67" t="s">
        <v>620</v>
      </c>
      <c r="AR67" t="s">
        <v>528</v>
      </c>
      <c r="AS67" t="s">
        <v>23</v>
      </c>
    </row>
    <row r="68" spans="1:47" x14ac:dyDescent="0.25">
      <c r="A68" s="1">
        <v>2737350</v>
      </c>
      <c r="B68" t="s">
        <v>134</v>
      </c>
      <c r="C68">
        <v>540</v>
      </c>
      <c r="D68" t="s">
        <v>1</v>
      </c>
      <c r="E68" s="2">
        <v>46211</v>
      </c>
      <c r="F68" s="2">
        <v>46223</v>
      </c>
      <c r="G68" s="3">
        <v>4</v>
      </c>
      <c r="H68" t="s">
        <v>20</v>
      </c>
      <c r="I68" s="3">
        <v>1900</v>
      </c>
      <c r="J68" t="s">
        <v>136</v>
      </c>
      <c r="K68" t="s">
        <v>4</v>
      </c>
      <c r="L68" t="s">
        <v>37</v>
      </c>
      <c r="M68" t="s">
        <v>23</v>
      </c>
      <c r="N68" t="s">
        <v>7</v>
      </c>
      <c r="O68" t="s">
        <v>7</v>
      </c>
      <c r="Q68" t="b">
        <f t="shared" si="0"/>
        <v>1</v>
      </c>
      <c r="R68" t="b">
        <f t="shared" si="1"/>
        <v>1</v>
      </c>
      <c r="S68" t="b">
        <f t="shared" si="2"/>
        <v>1</v>
      </c>
      <c r="T68" t="b">
        <f t="shared" si="3"/>
        <v>1</v>
      </c>
      <c r="U68" t="b">
        <f t="shared" si="4"/>
        <v>1</v>
      </c>
      <c r="V68" t="b">
        <f t="shared" si="5"/>
        <v>1</v>
      </c>
      <c r="W68" t="b">
        <f t="shared" si="6"/>
        <v>1</v>
      </c>
      <c r="X68" t="b">
        <f t="shared" si="7"/>
        <v>1</v>
      </c>
      <c r="Y68" t="b">
        <f t="shared" si="8"/>
        <v>1</v>
      </c>
      <c r="Z68" t="b">
        <f t="shared" si="9"/>
        <v>1</v>
      </c>
      <c r="AA68" t="b">
        <f t="shared" si="10"/>
        <v>1</v>
      </c>
      <c r="AB68" t="b">
        <f t="shared" si="11"/>
        <v>1</v>
      </c>
      <c r="AC68" t="b">
        <f t="shared" si="12"/>
        <v>1</v>
      </c>
      <c r="AD68" t="b">
        <f t="shared" si="13"/>
        <v>1</v>
      </c>
      <c r="AE68" t="b">
        <f t="shared" si="14"/>
        <v>1</v>
      </c>
      <c r="AG68" s="1">
        <v>2737350</v>
      </c>
      <c r="AH68" t="s">
        <v>619</v>
      </c>
      <c r="AI68">
        <v>540</v>
      </c>
      <c r="AJ68" t="s">
        <v>503</v>
      </c>
      <c r="AK68" s="2">
        <v>46211</v>
      </c>
      <c r="AL68" s="2">
        <v>46223</v>
      </c>
      <c r="AM68" s="3">
        <v>4</v>
      </c>
      <c r="AN68" t="s">
        <v>20</v>
      </c>
      <c r="AO68" s="3">
        <v>1900</v>
      </c>
      <c r="AP68" t="s">
        <v>621</v>
      </c>
      <c r="AR68" t="s">
        <v>528</v>
      </c>
      <c r="AS68" t="s">
        <v>23</v>
      </c>
    </row>
    <row r="69" spans="1:47" x14ac:dyDescent="0.25">
      <c r="A69" s="1">
        <v>2737350</v>
      </c>
      <c r="B69" t="s">
        <v>134</v>
      </c>
      <c r="C69">
        <v>540</v>
      </c>
      <c r="D69" t="s">
        <v>1</v>
      </c>
      <c r="E69" s="2">
        <v>46211</v>
      </c>
      <c r="F69" s="2">
        <v>46223</v>
      </c>
      <c r="G69" s="3">
        <v>8</v>
      </c>
      <c r="H69" t="s">
        <v>20</v>
      </c>
      <c r="I69" s="3">
        <v>3800</v>
      </c>
      <c r="J69" t="s">
        <v>137</v>
      </c>
      <c r="K69" t="s">
        <v>4</v>
      </c>
      <c r="L69" t="s">
        <v>37</v>
      </c>
      <c r="M69" t="s">
        <v>23</v>
      </c>
      <c r="N69" t="s">
        <v>7</v>
      </c>
      <c r="O69" t="s">
        <v>7</v>
      </c>
      <c r="Q69" t="b">
        <f t="shared" si="0"/>
        <v>1</v>
      </c>
      <c r="R69" t="b">
        <f t="shared" si="1"/>
        <v>1</v>
      </c>
      <c r="S69" t="b">
        <f t="shared" si="2"/>
        <v>1</v>
      </c>
      <c r="T69" t="b">
        <f t="shared" si="3"/>
        <v>1</v>
      </c>
      <c r="U69" t="b">
        <f t="shared" si="4"/>
        <v>1</v>
      </c>
      <c r="V69" t="b">
        <f t="shared" si="5"/>
        <v>1</v>
      </c>
      <c r="W69" t="b">
        <f t="shared" si="6"/>
        <v>1</v>
      </c>
      <c r="X69" t="b">
        <f t="shared" si="7"/>
        <v>1</v>
      </c>
      <c r="Y69" t="b">
        <f t="shared" si="8"/>
        <v>1</v>
      </c>
      <c r="Z69" t="b">
        <f t="shared" si="9"/>
        <v>1</v>
      </c>
      <c r="AA69" t="b">
        <f t="shared" si="10"/>
        <v>1</v>
      </c>
      <c r="AB69" t="b">
        <f t="shared" si="11"/>
        <v>1</v>
      </c>
      <c r="AC69" t="b">
        <f t="shared" si="12"/>
        <v>1</v>
      </c>
      <c r="AD69" t="b">
        <f t="shared" si="13"/>
        <v>1</v>
      </c>
      <c r="AE69" t="b">
        <f t="shared" si="14"/>
        <v>1</v>
      </c>
      <c r="AG69" s="1">
        <v>2737350</v>
      </c>
      <c r="AH69" t="s">
        <v>619</v>
      </c>
      <c r="AI69">
        <v>540</v>
      </c>
      <c r="AJ69" t="s">
        <v>503</v>
      </c>
      <c r="AK69" s="2">
        <v>46211</v>
      </c>
      <c r="AL69" s="2">
        <v>46223</v>
      </c>
      <c r="AM69" s="3">
        <v>8</v>
      </c>
      <c r="AN69" t="s">
        <v>20</v>
      </c>
      <c r="AO69" s="3">
        <v>3800</v>
      </c>
      <c r="AP69" t="s">
        <v>622</v>
      </c>
      <c r="AR69" t="s">
        <v>528</v>
      </c>
      <c r="AS69" t="s">
        <v>23</v>
      </c>
    </row>
    <row r="70" spans="1:47" x14ac:dyDescent="0.25">
      <c r="A70" s="1">
        <v>2739814</v>
      </c>
      <c r="B70" t="s">
        <v>138</v>
      </c>
      <c r="C70">
        <v>550</v>
      </c>
      <c r="D70" t="s">
        <v>1</v>
      </c>
      <c r="E70" s="2">
        <v>46223</v>
      </c>
      <c r="F70" s="2">
        <v>46223</v>
      </c>
      <c r="G70" s="3">
        <v>2</v>
      </c>
      <c r="H70" t="s">
        <v>11</v>
      </c>
      <c r="I70" s="3">
        <v>5400</v>
      </c>
      <c r="J70" t="s">
        <v>139</v>
      </c>
      <c r="K70" t="s">
        <v>4</v>
      </c>
      <c r="L70" t="s">
        <v>37</v>
      </c>
      <c r="M70" t="s">
        <v>23</v>
      </c>
      <c r="N70" t="s">
        <v>7</v>
      </c>
      <c r="O70" t="s">
        <v>7</v>
      </c>
      <c r="Q70" t="b">
        <f t="shared" si="0"/>
        <v>1</v>
      </c>
      <c r="R70" t="b">
        <f t="shared" si="1"/>
        <v>1</v>
      </c>
      <c r="S70" t="b">
        <f t="shared" si="2"/>
        <v>1</v>
      </c>
      <c r="T70" t="b">
        <f t="shared" si="3"/>
        <v>1</v>
      </c>
      <c r="U70" t="b">
        <f t="shared" si="4"/>
        <v>1</v>
      </c>
      <c r="V70" t="b">
        <f t="shared" si="5"/>
        <v>1</v>
      </c>
      <c r="W70" t="b">
        <f t="shared" si="6"/>
        <v>1</v>
      </c>
      <c r="X70" t="b">
        <f t="shared" si="7"/>
        <v>1</v>
      </c>
      <c r="Y70" t="b">
        <f t="shared" si="8"/>
        <v>1</v>
      </c>
      <c r="Z70" t="b">
        <f t="shared" si="9"/>
        <v>1</v>
      </c>
      <c r="AA70" t="b">
        <f t="shared" si="10"/>
        <v>1</v>
      </c>
      <c r="AB70" t="b">
        <f t="shared" si="11"/>
        <v>1</v>
      </c>
      <c r="AC70" t="b">
        <f t="shared" si="12"/>
        <v>1</v>
      </c>
      <c r="AD70" t="b">
        <f t="shared" si="13"/>
        <v>1</v>
      </c>
      <c r="AE70" t="b">
        <f t="shared" si="14"/>
        <v>1</v>
      </c>
      <c r="AG70" s="1">
        <v>2739814</v>
      </c>
      <c r="AH70" t="s">
        <v>623</v>
      </c>
      <c r="AI70">
        <v>550</v>
      </c>
      <c r="AJ70" t="s">
        <v>503</v>
      </c>
      <c r="AK70" s="2">
        <v>46223</v>
      </c>
      <c r="AL70" s="2">
        <v>46223</v>
      </c>
      <c r="AM70" s="3">
        <v>2</v>
      </c>
      <c r="AN70" t="s">
        <v>11</v>
      </c>
      <c r="AO70" s="3">
        <v>5400</v>
      </c>
      <c r="AP70" t="s">
        <v>624</v>
      </c>
      <c r="AR70" t="s">
        <v>528</v>
      </c>
      <c r="AS70" t="s">
        <v>23</v>
      </c>
    </row>
    <row r="71" spans="1:47" x14ac:dyDescent="0.25">
      <c r="A71" s="1">
        <v>2740383</v>
      </c>
      <c r="B71" t="s">
        <v>140</v>
      </c>
      <c r="C71">
        <v>540</v>
      </c>
      <c r="D71" t="s">
        <v>15</v>
      </c>
      <c r="E71" s="2">
        <v>46223</v>
      </c>
      <c r="F71" s="2">
        <v>46223</v>
      </c>
      <c r="G71" s="3">
        <v>44000</v>
      </c>
      <c r="H71" t="s">
        <v>16</v>
      </c>
      <c r="I71" s="3">
        <v>44000</v>
      </c>
      <c r="J71" t="s">
        <v>141</v>
      </c>
      <c r="K71" t="s">
        <v>4</v>
      </c>
      <c r="L71" t="s">
        <v>142</v>
      </c>
      <c r="M71" t="s">
        <v>6</v>
      </c>
      <c r="N71" t="s">
        <v>7</v>
      </c>
      <c r="O71" t="s">
        <v>143</v>
      </c>
      <c r="Q71" t="b">
        <f t="shared" si="0"/>
        <v>1</v>
      </c>
      <c r="R71" t="b">
        <f t="shared" si="1"/>
        <v>1</v>
      </c>
      <c r="S71" t="b">
        <f t="shared" si="2"/>
        <v>1</v>
      </c>
      <c r="T71" t="b">
        <f t="shared" si="3"/>
        <v>1</v>
      </c>
      <c r="U71" t="b">
        <f t="shared" si="4"/>
        <v>1</v>
      </c>
      <c r="V71" t="b">
        <f t="shared" si="5"/>
        <v>1</v>
      </c>
      <c r="W71" t="b">
        <f t="shared" si="6"/>
        <v>1</v>
      </c>
      <c r="X71" t="b">
        <f t="shared" si="7"/>
        <v>1</v>
      </c>
      <c r="Y71" t="b">
        <f t="shared" si="8"/>
        <v>1</v>
      </c>
      <c r="Z71" t="b">
        <f t="shared" si="9"/>
        <v>1</v>
      </c>
      <c r="AA71" t="b">
        <f t="shared" si="10"/>
        <v>1</v>
      </c>
      <c r="AB71" t="b">
        <f t="shared" si="11"/>
        <v>1</v>
      </c>
      <c r="AC71" t="b">
        <f t="shared" si="12"/>
        <v>1</v>
      </c>
      <c r="AD71" t="b">
        <f t="shared" si="13"/>
        <v>1</v>
      </c>
      <c r="AE71" t="b">
        <f t="shared" si="14"/>
        <v>1</v>
      </c>
      <c r="AG71" s="1">
        <v>2740383</v>
      </c>
      <c r="AH71" t="s">
        <v>625</v>
      </c>
      <c r="AI71">
        <v>540</v>
      </c>
      <c r="AJ71" t="s">
        <v>511</v>
      </c>
      <c r="AK71" s="2">
        <v>46223</v>
      </c>
      <c r="AL71" s="2">
        <v>46223</v>
      </c>
      <c r="AM71" s="3">
        <v>44000</v>
      </c>
      <c r="AN71" t="s">
        <v>16</v>
      </c>
      <c r="AO71" s="3">
        <v>44000</v>
      </c>
      <c r="AP71" t="s">
        <v>626</v>
      </c>
      <c r="AR71" t="s">
        <v>627</v>
      </c>
      <c r="AU71" t="s">
        <v>628</v>
      </c>
    </row>
    <row r="72" spans="1:47" x14ac:dyDescent="0.25">
      <c r="A72" s="1">
        <v>2740399</v>
      </c>
      <c r="B72" t="s">
        <v>144</v>
      </c>
      <c r="C72">
        <v>550</v>
      </c>
      <c r="D72" t="s">
        <v>1</v>
      </c>
      <c r="E72" s="2">
        <v>46223</v>
      </c>
      <c r="F72" s="2">
        <v>46223</v>
      </c>
      <c r="G72" s="3">
        <v>2</v>
      </c>
      <c r="H72" t="s">
        <v>2</v>
      </c>
      <c r="I72" s="3">
        <v>80</v>
      </c>
      <c r="J72" t="s">
        <v>145</v>
      </c>
      <c r="K72" t="s">
        <v>4</v>
      </c>
      <c r="L72" t="s">
        <v>146</v>
      </c>
      <c r="M72" t="s">
        <v>6</v>
      </c>
      <c r="N72" t="s">
        <v>7</v>
      </c>
      <c r="O72" t="s">
        <v>7</v>
      </c>
      <c r="Q72" t="b">
        <f t="shared" si="0"/>
        <v>1</v>
      </c>
      <c r="R72" t="b">
        <f t="shared" si="1"/>
        <v>1</v>
      </c>
      <c r="S72" t="b">
        <f t="shared" si="2"/>
        <v>1</v>
      </c>
      <c r="T72" t="b">
        <f t="shared" si="3"/>
        <v>1</v>
      </c>
      <c r="U72" t="b">
        <f t="shared" si="4"/>
        <v>1</v>
      </c>
      <c r="V72" t="b">
        <f t="shared" si="5"/>
        <v>1</v>
      </c>
      <c r="W72" t="b">
        <f t="shared" si="6"/>
        <v>1</v>
      </c>
      <c r="X72" t="b">
        <f t="shared" si="7"/>
        <v>1</v>
      </c>
      <c r="Y72" t="b">
        <f t="shared" si="8"/>
        <v>1</v>
      </c>
      <c r="Z72" t="b">
        <f t="shared" si="9"/>
        <v>1</v>
      </c>
      <c r="AA72" t="b">
        <f t="shared" si="10"/>
        <v>1</v>
      </c>
      <c r="AB72" t="b">
        <f t="shared" si="11"/>
        <v>1</v>
      </c>
      <c r="AC72" t="b">
        <f t="shared" si="12"/>
        <v>1</v>
      </c>
      <c r="AD72" t="b">
        <f t="shared" si="13"/>
        <v>1</v>
      </c>
      <c r="AE72" t="b">
        <f t="shared" si="14"/>
        <v>1</v>
      </c>
      <c r="AG72" s="1">
        <v>2740399</v>
      </c>
      <c r="AH72" t="s">
        <v>629</v>
      </c>
      <c r="AI72">
        <v>550</v>
      </c>
      <c r="AJ72" t="s">
        <v>503</v>
      </c>
      <c r="AK72" s="2">
        <v>46223</v>
      </c>
      <c r="AL72" s="2">
        <v>46223</v>
      </c>
      <c r="AM72" s="3">
        <v>2</v>
      </c>
      <c r="AN72" t="s">
        <v>2</v>
      </c>
      <c r="AO72" s="3">
        <v>80</v>
      </c>
      <c r="AP72" t="s">
        <v>630</v>
      </c>
      <c r="AR72" t="s">
        <v>631</v>
      </c>
    </row>
    <row r="73" spans="1:47" x14ac:dyDescent="0.25">
      <c r="A73" s="1">
        <v>2742592</v>
      </c>
      <c r="B73" t="s">
        <v>147</v>
      </c>
      <c r="C73">
        <v>550</v>
      </c>
      <c r="D73" t="s">
        <v>1</v>
      </c>
      <c r="E73" s="2">
        <v>46223</v>
      </c>
      <c r="F73" s="2">
        <v>46223</v>
      </c>
      <c r="G73" s="3">
        <v>2</v>
      </c>
      <c r="H73" t="s">
        <v>20</v>
      </c>
      <c r="I73" s="3">
        <v>950</v>
      </c>
      <c r="J73" t="s">
        <v>137</v>
      </c>
      <c r="K73" t="s">
        <v>4</v>
      </c>
      <c r="L73" t="s">
        <v>37</v>
      </c>
      <c r="M73" t="s">
        <v>23</v>
      </c>
      <c r="N73" t="s">
        <v>7</v>
      </c>
      <c r="O73" t="s">
        <v>7</v>
      </c>
      <c r="Q73" t="b">
        <f t="shared" si="0"/>
        <v>1</v>
      </c>
      <c r="R73" t="b">
        <f t="shared" si="1"/>
        <v>1</v>
      </c>
      <c r="S73" t="b">
        <f t="shared" si="2"/>
        <v>1</v>
      </c>
      <c r="T73" t="b">
        <f t="shared" si="3"/>
        <v>1</v>
      </c>
      <c r="U73" t="b">
        <f t="shared" si="4"/>
        <v>1</v>
      </c>
      <c r="V73" t="b">
        <f t="shared" si="5"/>
        <v>1</v>
      </c>
      <c r="W73" t="b">
        <f t="shared" si="6"/>
        <v>1</v>
      </c>
      <c r="X73" t="b">
        <f t="shared" si="7"/>
        <v>1</v>
      </c>
      <c r="Y73" t="b">
        <f t="shared" si="8"/>
        <v>1</v>
      </c>
      <c r="Z73" t="b">
        <f t="shared" si="9"/>
        <v>1</v>
      </c>
      <c r="AA73" t="b">
        <f t="shared" si="10"/>
        <v>1</v>
      </c>
      <c r="AB73" t="b">
        <f t="shared" si="11"/>
        <v>1</v>
      </c>
      <c r="AC73" t="b">
        <f t="shared" si="12"/>
        <v>1</v>
      </c>
      <c r="AD73" t="b">
        <f t="shared" si="13"/>
        <v>1</v>
      </c>
      <c r="AE73" t="b">
        <f t="shared" si="14"/>
        <v>1</v>
      </c>
      <c r="AG73" s="1">
        <v>2742592</v>
      </c>
      <c r="AH73" t="s">
        <v>632</v>
      </c>
      <c r="AI73">
        <v>550</v>
      </c>
      <c r="AJ73" t="s">
        <v>503</v>
      </c>
      <c r="AK73" s="2">
        <v>46223</v>
      </c>
      <c r="AL73" s="2">
        <v>46223</v>
      </c>
      <c r="AM73" s="3">
        <v>2</v>
      </c>
      <c r="AN73" t="s">
        <v>20</v>
      </c>
      <c r="AO73" s="3">
        <v>950</v>
      </c>
      <c r="AP73" t="s">
        <v>622</v>
      </c>
      <c r="AR73" t="s">
        <v>528</v>
      </c>
      <c r="AS73" t="s">
        <v>23</v>
      </c>
    </row>
    <row r="74" spans="1:47" x14ac:dyDescent="0.25">
      <c r="A74" s="1">
        <v>2742775</v>
      </c>
      <c r="B74" t="s">
        <v>148</v>
      </c>
      <c r="C74">
        <v>530</v>
      </c>
      <c r="D74" t="s">
        <v>1</v>
      </c>
      <c r="E74" s="2">
        <v>46223</v>
      </c>
      <c r="F74" s="2">
        <v>46223</v>
      </c>
      <c r="G74" s="3">
        <v>1</v>
      </c>
      <c r="H74" t="s">
        <v>149</v>
      </c>
      <c r="I74" s="3">
        <v>1</v>
      </c>
      <c r="J74" t="s">
        <v>150</v>
      </c>
      <c r="K74" t="s">
        <v>4</v>
      </c>
      <c r="L74" t="s">
        <v>37</v>
      </c>
      <c r="M74" t="s">
        <v>6</v>
      </c>
      <c r="N74" t="s">
        <v>7</v>
      </c>
      <c r="O74" t="s">
        <v>7</v>
      </c>
      <c r="Q74" t="b">
        <f t="shared" ref="Q74:Q137" si="15">IFERROR(ABS(A74-AG74)&lt;=0.001,EXACT(A74&amp;"",AG74&amp;""))</f>
        <v>1</v>
      </c>
      <c r="R74" t="b">
        <f t="shared" ref="R74:R137" si="16">EXACT(TRIM(B74&amp;""),TRIM(AH74&amp;""))</f>
        <v>1</v>
      </c>
      <c r="S74" t="b">
        <f t="shared" ref="S74:S137" si="17">EXACT(TRIM(C74&amp;""),TRIM(AI74&amp;""))</f>
        <v>1</v>
      </c>
      <c r="T74" t="b">
        <f t="shared" ref="T74:T137" si="18">EXACT(TRIM(D74&amp;""),TRIM(AJ74&amp;""))</f>
        <v>1</v>
      </c>
      <c r="U74" t="b">
        <f t="shared" ref="U74:U137" si="19">IFERROR(INT(E74)=INT(AK74),EXACT(E74&amp;"",AK74&amp;""))</f>
        <v>1</v>
      </c>
      <c r="V74" t="b">
        <f t="shared" ref="V74:V137" si="20">IFERROR(INT(F74)=INT(AL74),EXACT(F74&amp;"",AL74&amp;""))</f>
        <v>1</v>
      </c>
      <c r="W74" t="b">
        <f t="shared" ref="W74:W137" si="21">IFERROR(ROUND(G74,0)=ROUND(AM74,0),EXACT(G74&amp;"",AM74&amp;""))</f>
        <v>1</v>
      </c>
      <c r="X74" t="b">
        <f t="shared" ref="X74:X137" si="22">EXACT(TRIM(H74&amp;""),TRIM(AN74&amp;""))</f>
        <v>1</v>
      </c>
      <c r="Y74" t="b">
        <f t="shared" ref="Y74:Y137" si="23">IFERROR(ROUND(I74,0)=ROUND(AO74,0),EXACT(I74&amp;"",AO74&amp;""))</f>
        <v>1</v>
      </c>
      <c r="Z74" t="b">
        <f t="shared" ref="Z74:Z137" si="24">EXACT(TRIM(J74&amp;""),TRIM(AP74&amp;""))</f>
        <v>1</v>
      </c>
      <c r="AA74" t="b">
        <f t="shared" ref="AA74:AA137" si="25">EXACT(TRIM(K74&amp;""),TRIM(AQ74&amp;""))</f>
        <v>1</v>
      </c>
      <c r="AB74" t="b">
        <f t="shared" ref="AB74:AB137" si="26">EXACT(TRIM(L74&amp;""),TRIM(AR74&amp;""))</f>
        <v>1</v>
      </c>
      <c r="AC74" t="b">
        <f t="shared" ref="AC74:AC137" si="27">EXACT(TRIM(M74&amp;""),TRIM(AS74&amp;""))</f>
        <v>1</v>
      </c>
      <c r="AD74" t="b">
        <f t="shared" ref="AD74:AD137" si="28">EXACT(TRIM(N74&amp;""),TRIM(AT74&amp;""))</f>
        <v>1</v>
      </c>
      <c r="AE74" t="b">
        <f t="shared" ref="AE74:AE137" si="29">EXACT(TRIM(O74&amp;""),TRIM(AU74&amp;""))</f>
        <v>1</v>
      </c>
      <c r="AG74" s="1">
        <v>2742775</v>
      </c>
      <c r="AH74" t="s">
        <v>633</v>
      </c>
      <c r="AI74">
        <v>530</v>
      </c>
      <c r="AJ74" t="s">
        <v>503</v>
      </c>
      <c r="AK74" s="2">
        <v>46223</v>
      </c>
      <c r="AL74" s="2">
        <v>46223</v>
      </c>
      <c r="AM74" s="3">
        <v>1</v>
      </c>
      <c r="AN74" t="s">
        <v>149</v>
      </c>
      <c r="AO74" s="3">
        <v>1</v>
      </c>
      <c r="AP74" t="s">
        <v>634</v>
      </c>
      <c r="AR74" t="s">
        <v>528</v>
      </c>
    </row>
    <row r="75" spans="1:47" x14ac:dyDescent="0.25">
      <c r="A75" s="1">
        <v>2742775</v>
      </c>
      <c r="B75" t="s">
        <v>148</v>
      </c>
      <c r="C75">
        <v>530</v>
      </c>
      <c r="D75" t="s">
        <v>1</v>
      </c>
      <c r="E75" s="2">
        <v>46223</v>
      </c>
      <c r="F75" s="2">
        <v>46223</v>
      </c>
      <c r="G75" s="3">
        <v>2</v>
      </c>
      <c r="H75" t="s">
        <v>149</v>
      </c>
      <c r="I75" s="3">
        <v>2</v>
      </c>
      <c r="J75" t="s">
        <v>151</v>
      </c>
      <c r="K75" t="s">
        <v>4</v>
      </c>
      <c r="L75" t="s">
        <v>37</v>
      </c>
      <c r="M75" t="s">
        <v>6</v>
      </c>
      <c r="N75" t="s">
        <v>7</v>
      </c>
      <c r="O75" t="s">
        <v>7</v>
      </c>
      <c r="Q75" t="b">
        <f t="shared" si="15"/>
        <v>1</v>
      </c>
      <c r="R75" t="b">
        <f t="shared" si="16"/>
        <v>1</v>
      </c>
      <c r="S75" t="b">
        <f t="shared" si="17"/>
        <v>1</v>
      </c>
      <c r="T75" t="b">
        <f t="shared" si="18"/>
        <v>1</v>
      </c>
      <c r="U75" t="b">
        <f t="shared" si="19"/>
        <v>1</v>
      </c>
      <c r="V75" t="b">
        <f t="shared" si="20"/>
        <v>1</v>
      </c>
      <c r="W75" t="b">
        <f t="shared" si="21"/>
        <v>1</v>
      </c>
      <c r="X75" t="b">
        <f t="shared" si="22"/>
        <v>1</v>
      </c>
      <c r="Y75" t="b">
        <f t="shared" si="23"/>
        <v>1</v>
      </c>
      <c r="Z75" t="b">
        <f t="shared" si="24"/>
        <v>1</v>
      </c>
      <c r="AA75" t="b">
        <f t="shared" si="25"/>
        <v>1</v>
      </c>
      <c r="AB75" t="b">
        <f t="shared" si="26"/>
        <v>1</v>
      </c>
      <c r="AC75" t="b">
        <f t="shared" si="27"/>
        <v>1</v>
      </c>
      <c r="AD75" t="b">
        <f t="shared" si="28"/>
        <v>1</v>
      </c>
      <c r="AE75" t="b">
        <f t="shared" si="29"/>
        <v>1</v>
      </c>
      <c r="AG75" s="1">
        <v>2742775</v>
      </c>
      <c r="AH75" t="s">
        <v>633</v>
      </c>
      <c r="AI75">
        <v>530</v>
      </c>
      <c r="AJ75" t="s">
        <v>503</v>
      </c>
      <c r="AK75" s="2">
        <v>46223</v>
      </c>
      <c r="AL75" s="2">
        <v>46223</v>
      </c>
      <c r="AM75" s="3">
        <v>2</v>
      </c>
      <c r="AN75" t="s">
        <v>149</v>
      </c>
      <c r="AO75" s="3">
        <v>2</v>
      </c>
      <c r="AP75" t="s">
        <v>635</v>
      </c>
      <c r="AR75" t="s">
        <v>528</v>
      </c>
    </row>
    <row r="76" spans="1:47" x14ac:dyDescent="0.25">
      <c r="A76" s="1">
        <v>2743467</v>
      </c>
      <c r="B76" t="s">
        <v>144</v>
      </c>
      <c r="C76">
        <v>550</v>
      </c>
      <c r="D76" t="s">
        <v>1</v>
      </c>
      <c r="E76" s="2">
        <v>46223</v>
      </c>
      <c r="F76" s="2">
        <v>46223</v>
      </c>
      <c r="G76" s="3">
        <v>1</v>
      </c>
      <c r="H76" t="s">
        <v>11</v>
      </c>
      <c r="I76" s="3">
        <v>2900</v>
      </c>
      <c r="J76" t="s">
        <v>152</v>
      </c>
      <c r="K76" t="s">
        <v>4</v>
      </c>
      <c r="L76" t="s">
        <v>37</v>
      </c>
      <c r="M76" t="s">
        <v>23</v>
      </c>
      <c r="N76" t="s">
        <v>7</v>
      </c>
      <c r="O76" t="s">
        <v>7</v>
      </c>
      <c r="Q76" t="b">
        <f t="shared" si="15"/>
        <v>1</v>
      </c>
      <c r="R76" t="b">
        <f t="shared" si="16"/>
        <v>1</v>
      </c>
      <c r="S76" t="b">
        <f t="shared" si="17"/>
        <v>1</v>
      </c>
      <c r="T76" t="b">
        <f t="shared" si="18"/>
        <v>1</v>
      </c>
      <c r="U76" t="b">
        <f t="shared" si="19"/>
        <v>1</v>
      </c>
      <c r="V76" t="b">
        <f t="shared" si="20"/>
        <v>1</v>
      </c>
      <c r="W76" t="b">
        <f t="shared" si="21"/>
        <v>1</v>
      </c>
      <c r="X76" t="b">
        <f t="shared" si="22"/>
        <v>1</v>
      </c>
      <c r="Y76" t="b">
        <f t="shared" si="23"/>
        <v>1</v>
      </c>
      <c r="Z76" t="b">
        <f t="shared" si="24"/>
        <v>1</v>
      </c>
      <c r="AA76" t="b">
        <f t="shared" si="25"/>
        <v>1</v>
      </c>
      <c r="AB76" t="b">
        <f t="shared" si="26"/>
        <v>1</v>
      </c>
      <c r="AC76" t="b">
        <f t="shared" si="27"/>
        <v>1</v>
      </c>
      <c r="AD76" t="b">
        <f t="shared" si="28"/>
        <v>1</v>
      </c>
      <c r="AE76" t="b">
        <f t="shared" si="29"/>
        <v>1</v>
      </c>
      <c r="AG76" s="1">
        <v>2743467</v>
      </c>
      <c r="AH76" t="s">
        <v>629</v>
      </c>
      <c r="AI76">
        <v>550</v>
      </c>
      <c r="AJ76" t="s">
        <v>503</v>
      </c>
      <c r="AK76" s="2">
        <v>46223</v>
      </c>
      <c r="AL76" s="2">
        <v>46223</v>
      </c>
      <c r="AM76" s="3">
        <v>1</v>
      </c>
      <c r="AN76" t="s">
        <v>11</v>
      </c>
      <c r="AO76" s="3">
        <v>2900</v>
      </c>
      <c r="AP76" t="s">
        <v>636</v>
      </c>
      <c r="AR76" t="s">
        <v>528</v>
      </c>
      <c r="AS76" t="s">
        <v>23</v>
      </c>
    </row>
    <row r="77" spans="1:47" x14ac:dyDescent="0.25">
      <c r="A77" s="1">
        <v>2743467</v>
      </c>
      <c r="B77" t="s">
        <v>144</v>
      </c>
      <c r="C77">
        <v>550</v>
      </c>
      <c r="D77" t="s">
        <v>1</v>
      </c>
      <c r="E77" s="2">
        <v>46223</v>
      </c>
      <c r="F77" s="2">
        <v>46223</v>
      </c>
      <c r="G77" s="3">
        <v>16</v>
      </c>
      <c r="H77" t="s">
        <v>20</v>
      </c>
      <c r="I77" s="3">
        <v>7600</v>
      </c>
      <c r="J77" t="s">
        <v>137</v>
      </c>
      <c r="K77" t="s">
        <v>4</v>
      </c>
      <c r="L77" t="s">
        <v>37</v>
      </c>
      <c r="M77" t="s">
        <v>23</v>
      </c>
      <c r="N77" t="s">
        <v>7</v>
      </c>
      <c r="O77" t="s">
        <v>7</v>
      </c>
      <c r="Q77" t="b">
        <f t="shared" si="15"/>
        <v>1</v>
      </c>
      <c r="R77" t="b">
        <f t="shared" si="16"/>
        <v>1</v>
      </c>
      <c r="S77" t="b">
        <f t="shared" si="17"/>
        <v>1</v>
      </c>
      <c r="T77" t="b">
        <f t="shared" si="18"/>
        <v>1</v>
      </c>
      <c r="U77" t="b">
        <f t="shared" si="19"/>
        <v>1</v>
      </c>
      <c r="V77" t="b">
        <f t="shared" si="20"/>
        <v>1</v>
      </c>
      <c r="W77" t="b">
        <f t="shared" si="21"/>
        <v>1</v>
      </c>
      <c r="X77" t="b">
        <f t="shared" si="22"/>
        <v>1</v>
      </c>
      <c r="Y77" t="b">
        <f t="shared" si="23"/>
        <v>1</v>
      </c>
      <c r="Z77" t="b">
        <f t="shared" si="24"/>
        <v>1</v>
      </c>
      <c r="AA77" t="b">
        <f t="shared" si="25"/>
        <v>1</v>
      </c>
      <c r="AB77" t="b">
        <f t="shared" si="26"/>
        <v>1</v>
      </c>
      <c r="AC77" t="b">
        <f t="shared" si="27"/>
        <v>1</v>
      </c>
      <c r="AD77" t="b">
        <f t="shared" si="28"/>
        <v>1</v>
      </c>
      <c r="AE77" t="b">
        <f t="shared" si="29"/>
        <v>1</v>
      </c>
      <c r="AG77" s="1">
        <v>2743467</v>
      </c>
      <c r="AH77" t="s">
        <v>629</v>
      </c>
      <c r="AI77">
        <v>550</v>
      </c>
      <c r="AJ77" t="s">
        <v>503</v>
      </c>
      <c r="AK77" s="2">
        <v>46223</v>
      </c>
      <c r="AL77" s="2">
        <v>46223</v>
      </c>
      <c r="AM77" s="3">
        <v>16</v>
      </c>
      <c r="AN77" t="s">
        <v>20</v>
      </c>
      <c r="AO77" s="3">
        <v>7600</v>
      </c>
      <c r="AP77" t="s">
        <v>622</v>
      </c>
      <c r="AR77" t="s">
        <v>528</v>
      </c>
      <c r="AS77" t="s">
        <v>23</v>
      </c>
    </row>
    <row r="78" spans="1:47" x14ac:dyDescent="0.25">
      <c r="A78" s="1">
        <v>2743484</v>
      </c>
      <c r="B78" t="s">
        <v>134</v>
      </c>
      <c r="C78">
        <v>530</v>
      </c>
      <c r="D78" t="s">
        <v>1</v>
      </c>
      <c r="E78" s="2">
        <v>46218</v>
      </c>
      <c r="F78" s="2">
        <v>46223</v>
      </c>
      <c r="G78" s="3">
        <v>2</v>
      </c>
      <c r="H78" t="s">
        <v>20</v>
      </c>
      <c r="I78" s="3">
        <v>900</v>
      </c>
      <c r="J78" t="s">
        <v>153</v>
      </c>
      <c r="K78" t="s">
        <v>4</v>
      </c>
      <c r="L78" t="s">
        <v>37</v>
      </c>
      <c r="M78" t="s">
        <v>6</v>
      </c>
      <c r="N78" t="s">
        <v>7</v>
      </c>
      <c r="O78" t="s">
        <v>7</v>
      </c>
      <c r="Q78" t="b">
        <f t="shared" si="15"/>
        <v>1</v>
      </c>
      <c r="R78" t="b">
        <f t="shared" si="16"/>
        <v>1</v>
      </c>
      <c r="S78" t="b">
        <f t="shared" si="17"/>
        <v>1</v>
      </c>
      <c r="T78" t="b">
        <f t="shared" si="18"/>
        <v>1</v>
      </c>
      <c r="U78" t="b">
        <f t="shared" si="19"/>
        <v>1</v>
      </c>
      <c r="V78" t="b">
        <f t="shared" si="20"/>
        <v>1</v>
      </c>
      <c r="W78" t="b">
        <f t="shared" si="21"/>
        <v>1</v>
      </c>
      <c r="X78" t="b">
        <f t="shared" si="22"/>
        <v>1</v>
      </c>
      <c r="Y78" t="b">
        <f t="shared" si="23"/>
        <v>1</v>
      </c>
      <c r="Z78" t="b">
        <f t="shared" si="24"/>
        <v>1</v>
      </c>
      <c r="AA78" t="b">
        <f t="shared" si="25"/>
        <v>1</v>
      </c>
      <c r="AB78" t="b">
        <f t="shared" si="26"/>
        <v>1</v>
      </c>
      <c r="AC78" t="b">
        <f t="shared" si="27"/>
        <v>1</v>
      </c>
      <c r="AD78" t="b">
        <f t="shared" si="28"/>
        <v>1</v>
      </c>
      <c r="AE78" t="b">
        <f t="shared" si="29"/>
        <v>1</v>
      </c>
      <c r="AG78" s="1">
        <v>2743484</v>
      </c>
      <c r="AH78" t="s">
        <v>619</v>
      </c>
      <c r="AI78">
        <v>530</v>
      </c>
      <c r="AJ78" t="s">
        <v>503</v>
      </c>
      <c r="AK78" s="2">
        <v>46218</v>
      </c>
      <c r="AL78" s="2">
        <v>46223</v>
      </c>
      <c r="AM78" s="3">
        <v>2</v>
      </c>
      <c r="AN78" t="s">
        <v>20</v>
      </c>
      <c r="AO78" s="3">
        <v>900</v>
      </c>
      <c r="AP78" t="s">
        <v>637</v>
      </c>
      <c r="AR78" t="s">
        <v>528</v>
      </c>
    </row>
    <row r="79" spans="1:47" x14ac:dyDescent="0.25">
      <c r="A79" s="1">
        <v>2743485</v>
      </c>
      <c r="B79" t="s">
        <v>154</v>
      </c>
      <c r="C79">
        <v>550</v>
      </c>
      <c r="D79" t="s">
        <v>1</v>
      </c>
      <c r="E79" s="2">
        <v>46223</v>
      </c>
      <c r="F79" s="2">
        <v>46223</v>
      </c>
      <c r="G79" s="3">
        <v>1</v>
      </c>
      <c r="H79" t="s">
        <v>11</v>
      </c>
      <c r="I79" s="3">
        <v>2700</v>
      </c>
      <c r="J79" t="s">
        <v>155</v>
      </c>
      <c r="K79" t="s">
        <v>4</v>
      </c>
      <c r="L79" t="s">
        <v>126</v>
      </c>
      <c r="M79" t="s">
        <v>23</v>
      </c>
      <c r="N79" t="s">
        <v>7</v>
      </c>
      <c r="O79" t="s">
        <v>7</v>
      </c>
      <c r="Q79" t="b">
        <f t="shared" si="15"/>
        <v>1</v>
      </c>
      <c r="R79" t="b">
        <f t="shared" si="16"/>
        <v>1</v>
      </c>
      <c r="S79" t="b">
        <f t="shared" si="17"/>
        <v>1</v>
      </c>
      <c r="T79" t="b">
        <f t="shared" si="18"/>
        <v>1</v>
      </c>
      <c r="U79" t="b">
        <f t="shared" si="19"/>
        <v>1</v>
      </c>
      <c r="V79" t="b">
        <f t="shared" si="20"/>
        <v>1</v>
      </c>
      <c r="W79" t="b">
        <f t="shared" si="21"/>
        <v>1</v>
      </c>
      <c r="X79" t="b">
        <f t="shared" si="22"/>
        <v>1</v>
      </c>
      <c r="Y79" t="b">
        <f t="shared" si="23"/>
        <v>1</v>
      </c>
      <c r="Z79" t="b">
        <f t="shared" si="24"/>
        <v>1</v>
      </c>
      <c r="AA79" t="b">
        <f t="shared" si="25"/>
        <v>1</v>
      </c>
      <c r="AB79" t="b">
        <f t="shared" si="26"/>
        <v>1</v>
      </c>
      <c r="AC79" t="b">
        <f t="shared" si="27"/>
        <v>1</v>
      </c>
      <c r="AD79" t="b">
        <f t="shared" si="28"/>
        <v>1</v>
      </c>
      <c r="AE79" t="b">
        <f t="shared" si="29"/>
        <v>1</v>
      </c>
      <c r="AG79" s="1">
        <v>2743485</v>
      </c>
      <c r="AH79" t="s">
        <v>154</v>
      </c>
      <c r="AI79">
        <v>550</v>
      </c>
      <c r="AJ79" t="s">
        <v>503</v>
      </c>
      <c r="AK79" s="2">
        <v>46223</v>
      </c>
      <c r="AL79" s="2">
        <v>46223</v>
      </c>
      <c r="AM79" s="3">
        <v>1</v>
      </c>
      <c r="AN79" t="s">
        <v>11</v>
      </c>
      <c r="AO79" s="3">
        <v>2700</v>
      </c>
      <c r="AP79" t="s">
        <v>638</v>
      </c>
      <c r="AR79" t="s">
        <v>612</v>
      </c>
      <c r="AS79" t="s">
        <v>23</v>
      </c>
    </row>
    <row r="80" spans="1:47" x14ac:dyDescent="0.25">
      <c r="A80" s="1">
        <v>2743533</v>
      </c>
      <c r="B80" t="s">
        <v>156</v>
      </c>
      <c r="C80">
        <v>540</v>
      </c>
      <c r="D80" t="s">
        <v>1</v>
      </c>
      <c r="E80" s="2">
        <v>46220</v>
      </c>
      <c r="F80" s="2">
        <v>46223</v>
      </c>
      <c r="G80" s="3">
        <v>15</v>
      </c>
      <c r="H80" t="s">
        <v>11</v>
      </c>
      <c r="I80" s="3">
        <v>40500</v>
      </c>
      <c r="J80" t="s">
        <v>157</v>
      </c>
      <c r="K80" t="s">
        <v>4</v>
      </c>
      <c r="L80" t="s">
        <v>22</v>
      </c>
      <c r="M80" t="s">
        <v>23</v>
      </c>
      <c r="N80" t="s">
        <v>7</v>
      </c>
      <c r="O80" t="s">
        <v>7</v>
      </c>
      <c r="Q80" t="b">
        <f t="shared" si="15"/>
        <v>1</v>
      </c>
      <c r="R80" t="b">
        <f t="shared" si="16"/>
        <v>1</v>
      </c>
      <c r="S80" t="b">
        <f t="shared" si="17"/>
        <v>1</v>
      </c>
      <c r="T80" t="b">
        <f t="shared" si="18"/>
        <v>1</v>
      </c>
      <c r="U80" t="b">
        <f t="shared" si="19"/>
        <v>1</v>
      </c>
      <c r="V80" t="b">
        <f t="shared" si="20"/>
        <v>1</v>
      </c>
      <c r="W80" t="b">
        <f t="shared" si="21"/>
        <v>1</v>
      </c>
      <c r="X80" t="b">
        <f t="shared" si="22"/>
        <v>1</v>
      </c>
      <c r="Y80" t="b">
        <f t="shared" si="23"/>
        <v>1</v>
      </c>
      <c r="Z80" t="b">
        <f t="shared" si="24"/>
        <v>1</v>
      </c>
      <c r="AA80" t="b">
        <f t="shared" si="25"/>
        <v>1</v>
      </c>
      <c r="AB80" t="b">
        <f t="shared" si="26"/>
        <v>1</v>
      </c>
      <c r="AC80" t="b">
        <f t="shared" si="27"/>
        <v>1</v>
      </c>
      <c r="AD80" t="b">
        <f t="shared" si="28"/>
        <v>1</v>
      </c>
      <c r="AE80" t="b">
        <f t="shared" si="29"/>
        <v>1</v>
      </c>
      <c r="AG80" s="1">
        <v>2743533</v>
      </c>
      <c r="AH80" t="s">
        <v>639</v>
      </c>
      <c r="AI80">
        <v>540</v>
      </c>
      <c r="AJ80" t="s">
        <v>503</v>
      </c>
      <c r="AK80" s="2">
        <v>46220</v>
      </c>
      <c r="AL80" s="2">
        <v>46223</v>
      </c>
      <c r="AM80" s="3">
        <v>15</v>
      </c>
      <c r="AN80" t="s">
        <v>11</v>
      </c>
      <c r="AO80" s="3">
        <v>40500</v>
      </c>
      <c r="AP80" t="s">
        <v>640</v>
      </c>
      <c r="AR80" t="s">
        <v>516</v>
      </c>
      <c r="AS80" t="s">
        <v>23</v>
      </c>
    </row>
    <row r="81" spans="1:47" x14ac:dyDescent="0.25">
      <c r="A81" s="1">
        <v>2744295</v>
      </c>
      <c r="B81" t="s">
        <v>158</v>
      </c>
      <c r="C81">
        <v>540</v>
      </c>
      <c r="D81" t="s">
        <v>1</v>
      </c>
      <c r="E81" s="2">
        <v>46223</v>
      </c>
      <c r="F81" s="2">
        <v>46223</v>
      </c>
      <c r="G81" s="3">
        <v>4</v>
      </c>
      <c r="H81" t="s">
        <v>11</v>
      </c>
      <c r="I81" s="3">
        <v>8800</v>
      </c>
      <c r="J81" t="s">
        <v>159</v>
      </c>
      <c r="K81" t="s">
        <v>4</v>
      </c>
      <c r="L81" t="s">
        <v>22</v>
      </c>
      <c r="M81" t="s">
        <v>23</v>
      </c>
      <c r="N81" t="s">
        <v>7</v>
      </c>
      <c r="O81" t="s">
        <v>7</v>
      </c>
      <c r="Q81" t="b">
        <f t="shared" si="15"/>
        <v>1</v>
      </c>
      <c r="R81" t="b">
        <f t="shared" si="16"/>
        <v>1</v>
      </c>
      <c r="S81" t="b">
        <f t="shared" si="17"/>
        <v>1</v>
      </c>
      <c r="T81" t="b">
        <f t="shared" si="18"/>
        <v>1</v>
      </c>
      <c r="U81" t="b">
        <f t="shared" si="19"/>
        <v>1</v>
      </c>
      <c r="V81" t="b">
        <f t="shared" si="20"/>
        <v>1</v>
      </c>
      <c r="W81" t="b">
        <f t="shared" si="21"/>
        <v>1</v>
      </c>
      <c r="X81" t="b">
        <f t="shared" si="22"/>
        <v>1</v>
      </c>
      <c r="Y81" t="b">
        <f t="shared" si="23"/>
        <v>1</v>
      </c>
      <c r="Z81" t="b">
        <f t="shared" si="24"/>
        <v>1</v>
      </c>
      <c r="AA81" t="b">
        <f t="shared" si="25"/>
        <v>1</v>
      </c>
      <c r="AB81" t="b">
        <f t="shared" si="26"/>
        <v>1</v>
      </c>
      <c r="AC81" t="b">
        <f t="shared" si="27"/>
        <v>0</v>
      </c>
      <c r="AD81" t="b">
        <f t="shared" si="28"/>
        <v>1</v>
      </c>
      <c r="AE81" t="b">
        <f t="shared" si="29"/>
        <v>1</v>
      </c>
      <c r="AG81" s="1">
        <v>2744295</v>
      </c>
      <c r="AH81" t="s">
        <v>641</v>
      </c>
      <c r="AI81">
        <v>540</v>
      </c>
      <c r="AJ81" t="s">
        <v>503</v>
      </c>
      <c r="AK81" s="2">
        <v>46223</v>
      </c>
      <c r="AL81" s="2">
        <v>46223</v>
      </c>
      <c r="AM81" s="3">
        <v>4</v>
      </c>
      <c r="AN81" t="s">
        <v>11</v>
      </c>
      <c r="AO81" s="3">
        <v>8800</v>
      </c>
      <c r="AP81" t="s">
        <v>642</v>
      </c>
      <c r="AR81" t="s">
        <v>516</v>
      </c>
    </row>
    <row r="82" spans="1:47" x14ac:dyDescent="0.25">
      <c r="A82" s="1">
        <v>2744295</v>
      </c>
      <c r="B82" t="s">
        <v>158</v>
      </c>
      <c r="C82">
        <v>540</v>
      </c>
      <c r="D82" t="s">
        <v>1</v>
      </c>
      <c r="E82" s="2">
        <v>46223</v>
      </c>
      <c r="F82" s="2">
        <v>46223</v>
      </c>
      <c r="G82" s="3">
        <v>14</v>
      </c>
      <c r="H82" t="s">
        <v>11</v>
      </c>
      <c r="I82" s="3">
        <v>30800</v>
      </c>
      <c r="J82" t="s">
        <v>160</v>
      </c>
      <c r="K82" t="s">
        <v>4</v>
      </c>
      <c r="L82" t="s">
        <v>22</v>
      </c>
      <c r="M82" t="s">
        <v>23</v>
      </c>
      <c r="N82" t="s">
        <v>7</v>
      </c>
      <c r="O82" t="s">
        <v>7</v>
      </c>
      <c r="Q82" t="b">
        <f t="shared" si="15"/>
        <v>1</v>
      </c>
      <c r="R82" t="b">
        <f t="shared" si="16"/>
        <v>1</v>
      </c>
      <c r="S82" t="b">
        <f t="shared" si="17"/>
        <v>1</v>
      </c>
      <c r="T82" t="b">
        <f t="shared" si="18"/>
        <v>1</v>
      </c>
      <c r="U82" t="b">
        <f t="shared" si="19"/>
        <v>1</v>
      </c>
      <c r="V82" t="b">
        <f t="shared" si="20"/>
        <v>1</v>
      </c>
      <c r="W82" t="b">
        <f t="shared" si="21"/>
        <v>1</v>
      </c>
      <c r="X82" t="b">
        <f t="shared" si="22"/>
        <v>1</v>
      </c>
      <c r="Y82" t="b">
        <f t="shared" si="23"/>
        <v>1</v>
      </c>
      <c r="Z82" t="b">
        <f t="shared" si="24"/>
        <v>1</v>
      </c>
      <c r="AA82" t="b">
        <f t="shared" si="25"/>
        <v>1</v>
      </c>
      <c r="AB82" t="b">
        <f t="shared" si="26"/>
        <v>1</v>
      </c>
      <c r="AC82" t="b">
        <f t="shared" si="27"/>
        <v>0</v>
      </c>
      <c r="AD82" t="b">
        <f t="shared" si="28"/>
        <v>1</v>
      </c>
      <c r="AE82" t="b">
        <f t="shared" si="29"/>
        <v>1</v>
      </c>
      <c r="AG82" s="1">
        <v>2744295</v>
      </c>
      <c r="AH82" t="s">
        <v>641</v>
      </c>
      <c r="AI82">
        <v>540</v>
      </c>
      <c r="AJ82" t="s">
        <v>503</v>
      </c>
      <c r="AK82" s="2">
        <v>46223</v>
      </c>
      <c r="AL82" s="2">
        <v>46223</v>
      </c>
      <c r="AM82" s="3">
        <v>14</v>
      </c>
      <c r="AN82" t="s">
        <v>11</v>
      </c>
      <c r="AO82" s="3">
        <v>30800</v>
      </c>
      <c r="AP82" t="s">
        <v>643</v>
      </c>
      <c r="AR82" t="s">
        <v>516</v>
      </c>
    </row>
    <row r="83" spans="1:47" x14ac:dyDescent="0.25">
      <c r="A83" s="1">
        <v>2681222</v>
      </c>
      <c r="B83" t="s">
        <v>161</v>
      </c>
      <c r="C83">
        <v>540</v>
      </c>
      <c r="D83" t="s">
        <v>1</v>
      </c>
      <c r="E83" s="2">
        <v>46198</v>
      </c>
      <c r="F83" s="2">
        <v>46224</v>
      </c>
      <c r="G83" s="3">
        <v>41</v>
      </c>
      <c r="H83" t="s">
        <v>20</v>
      </c>
      <c r="I83" s="3">
        <v>18450</v>
      </c>
      <c r="J83" t="s">
        <v>162</v>
      </c>
      <c r="K83" t="s">
        <v>4</v>
      </c>
      <c r="L83" t="s">
        <v>108</v>
      </c>
      <c r="M83" t="s">
        <v>6</v>
      </c>
      <c r="N83" t="s">
        <v>7</v>
      </c>
      <c r="O83" t="s">
        <v>7</v>
      </c>
      <c r="Q83" t="b">
        <f t="shared" si="15"/>
        <v>1</v>
      </c>
      <c r="R83" t="b">
        <f t="shared" si="16"/>
        <v>1</v>
      </c>
      <c r="S83" t="b">
        <f t="shared" si="17"/>
        <v>1</v>
      </c>
      <c r="T83" t="b">
        <f t="shared" si="18"/>
        <v>1</v>
      </c>
      <c r="U83" t="b">
        <f t="shared" si="19"/>
        <v>1</v>
      </c>
      <c r="V83" t="b">
        <f t="shared" si="20"/>
        <v>1</v>
      </c>
      <c r="W83" t="b">
        <f t="shared" si="21"/>
        <v>1</v>
      </c>
      <c r="X83" t="b">
        <f t="shared" si="22"/>
        <v>1</v>
      </c>
      <c r="Y83" t="b">
        <f t="shared" si="23"/>
        <v>1</v>
      </c>
      <c r="Z83" t="b">
        <f t="shared" si="24"/>
        <v>1</v>
      </c>
      <c r="AA83" t="b">
        <f t="shared" si="25"/>
        <v>1</v>
      </c>
      <c r="AB83" t="b">
        <f t="shared" si="26"/>
        <v>1</v>
      </c>
      <c r="AC83" t="b">
        <f t="shared" si="27"/>
        <v>1</v>
      </c>
      <c r="AD83" t="b">
        <f t="shared" si="28"/>
        <v>1</v>
      </c>
      <c r="AE83" t="b">
        <f t="shared" si="29"/>
        <v>1</v>
      </c>
      <c r="AG83" s="1">
        <v>2681222</v>
      </c>
      <c r="AH83" t="s">
        <v>644</v>
      </c>
      <c r="AI83">
        <v>540</v>
      </c>
      <c r="AJ83" t="s">
        <v>503</v>
      </c>
      <c r="AK83" s="2">
        <v>46198</v>
      </c>
      <c r="AL83" s="2">
        <v>46224</v>
      </c>
      <c r="AM83" s="3">
        <v>41</v>
      </c>
      <c r="AN83" t="s">
        <v>20</v>
      </c>
      <c r="AO83" s="3">
        <v>18450</v>
      </c>
      <c r="AP83" t="s">
        <v>645</v>
      </c>
      <c r="AR83" t="s">
        <v>595</v>
      </c>
    </row>
    <row r="84" spans="1:47" x14ac:dyDescent="0.25">
      <c r="A84" s="1">
        <v>2695060</v>
      </c>
      <c r="B84" t="s">
        <v>163</v>
      </c>
      <c r="C84">
        <v>540</v>
      </c>
      <c r="D84" t="s">
        <v>1</v>
      </c>
      <c r="E84" s="2">
        <v>46212</v>
      </c>
      <c r="F84" s="2">
        <v>46224</v>
      </c>
      <c r="G84" s="3">
        <v>40</v>
      </c>
      <c r="H84" t="s">
        <v>20</v>
      </c>
      <c r="I84" s="3">
        <v>18000</v>
      </c>
      <c r="J84" t="s">
        <v>164</v>
      </c>
      <c r="K84" t="s">
        <v>4</v>
      </c>
      <c r="L84" t="s">
        <v>108</v>
      </c>
      <c r="M84" t="s">
        <v>6</v>
      </c>
      <c r="N84" t="s">
        <v>165</v>
      </c>
      <c r="O84" t="s">
        <v>7</v>
      </c>
      <c r="Q84" t="b">
        <f t="shared" si="15"/>
        <v>1</v>
      </c>
      <c r="R84" t="b">
        <f t="shared" si="16"/>
        <v>1</v>
      </c>
      <c r="S84" t="b">
        <f t="shared" si="17"/>
        <v>1</v>
      </c>
      <c r="T84" t="b">
        <f t="shared" si="18"/>
        <v>1</v>
      </c>
      <c r="U84" t="b">
        <f t="shared" si="19"/>
        <v>1</v>
      </c>
      <c r="V84" t="b">
        <f t="shared" si="20"/>
        <v>1</v>
      </c>
      <c r="W84" t="b">
        <f t="shared" si="21"/>
        <v>1</v>
      </c>
      <c r="X84" t="b">
        <f t="shared" si="22"/>
        <v>1</v>
      </c>
      <c r="Y84" t="b">
        <f t="shared" si="23"/>
        <v>1</v>
      </c>
      <c r="Z84" t="b">
        <f t="shared" si="24"/>
        <v>1</v>
      </c>
      <c r="AA84" t="b">
        <f t="shared" si="25"/>
        <v>1</v>
      </c>
      <c r="AB84" t="b">
        <f t="shared" si="26"/>
        <v>1</v>
      </c>
      <c r="AC84" t="b">
        <f t="shared" si="27"/>
        <v>1</v>
      </c>
      <c r="AD84" t="b">
        <f t="shared" si="28"/>
        <v>1</v>
      </c>
      <c r="AE84" t="b">
        <f t="shared" si="29"/>
        <v>1</v>
      </c>
      <c r="AG84" s="1">
        <v>2695060</v>
      </c>
      <c r="AH84" t="s">
        <v>646</v>
      </c>
      <c r="AI84">
        <v>540</v>
      </c>
      <c r="AJ84" t="s">
        <v>503</v>
      </c>
      <c r="AK84" s="2">
        <v>46212</v>
      </c>
      <c r="AL84" s="2">
        <v>46224</v>
      </c>
      <c r="AM84" s="3">
        <v>40</v>
      </c>
      <c r="AN84" t="s">
        <v>20</v>
      </c>
      <c r="AO84" s="3">
        <v>18000</v>
      </c>
      <c r="AP84" t="s">
        <v>647</v>
      </c>
      <c r="AR84" t="s">
        <v>595</v>
      </c>
      <c r="AT84" t="s">
        <v>648</v>
      </c>
    </row>
    <row r="85" spans="1:47" x14ac:dyDescent="0.25">
      <c r="A85" s="1">
        <v>2702590</v>
      </c>
      <c r="B85" t="s">
        <v>166</v>
      </c>
      <c r="C85">
        <v>540</v>
      </c>
      <c r="D85" t="s">
        <v>1</v>
      </c>
      <c r="E85" s="2">
        <v>46224</v>
      </c>
      <c r="F85" s="2">
        <v>46224</v>
      </c>
      <c r="G85" s="3">
        <v>1</v>
      </c>
      <c r="H85" t="s">
        <v>11</v>
      </c>
      <c r="I85" s="3">
        <v>2200</v>
      </c>
      <c r="J85" t="s">
        <v>167</v>
      </c>
      <c r="K85" t="s">
        <v>4</v>
      </c>
      <c r="L85" t="s">
        <v>108</v>
      </c>
      <c r="M85" t="s">
        <v>6</v>
      </c>
      <c r="N85" t="s">
        <v>7</v>
      </c>
      <c r="O85" t="s">
        <v>7</v>
      </c>
      <c r="Q85" t="b">
        <f t="shared" si="15"/>
        <v>1</v>
      </c>
      <c r="R85" t="b">
        <f t="shared" si="16"/>
        <v>1</v>
      </c>
      <c r="S85" t="b">
        <f t="shared" si="17"/>
        <v>1</v>
      </c>
      <c r="T85" t="b">
        <f t="shared" si="18"/>
        <v>1</v>
      </c>
      <c r="U85" t="b">
        <f t="shared" si="19"/>
        <v>1</v>
      </c>
      <c r="V85" t="b">
        <f t="shared" si="20"/>
        <v>1</v>
      </c>
      <c r="W85" t="b">
        <f t="shared" si="21"/>
        <v>1</v>
      </c>
      <c r="X85" t="b">
        <f t="shared" si="22"/>
        <v>1</v>
      </c>
      <c r="Y85" t="b">
        <f t="shared" si="23"/>
        <v>1</v>
      </c>
      <c r="Z85" t="b">
        <f t="shared" si="24"/>
        <v>1</v>
      </c>
      <c r="AA85" t="b">
        <f t="shared" si="25"/>
        <v>1</v>
      </c>
      <c r="AB85" t="b">
        <f t="shared" si="26"/>
        <v>1</v>
      </c>
      <c r="AC85" t="b">
        <f t="shared" si="27"/>
        <v>1</v>
      </c>
      <c r="AD85" t="b">
        <f t="shared" si="28"/>
        <v>1</v>
      </c>
      <c r="AE85" t="b">
        <f t="shared" si="29"/>
        <v>1</v>
      </c>
      <c r="AG85" s="1">
        <v>2702590</v>
      </c>
      <c r="AH85" t="s">
        <v>649</v>
      </c>
      <c r="AI85">
        <v>540</v>
      </c>
      <c r="AJ85" t="s">
        <v>503</v>
      </c>
      <c r="AK85" s="2">
        <v>46224</v>
      </c>
      <c r="AL85" s="2">
        <v>46224</v>
      </c>
      <c r="AM85" s="3">
        <v>1</v>
      </c>
      <c r="AN85" t="s">
        <v>11</v>
      </c>
      <c r="AO85" s="3">
        <v>2200</v>
      </c>
      <c r="AP85" t="s">
        <v>650</v>
      </c>
      <c r="AR85" t="s">
        <v>595</v>
      </c>
    </row>
    <row r="86" spans="1:47" x14ac:dyDescent="0.25">
      <c r="A86" s="1">
        <v>2718718</v>
      </c>
      <c r="B86" t="s">
        <v>168</v>
      </c>
      <c r="C86">
        <v>550</v>
      </c>
      <c r="D86" t="s">
        <v>1</v>
      </c>
      <c r="E86" s="2">
        <v>46224</v>
      </c>
      <c r="F86" s="2">
        <v>46224</v>
      </c>
      <c r="G86" s="3">
        <v>3</v>
      </c>
      <c r="H86" t="s">
        <v>20</v>
      </c>
      <c r="I86" s="3">
        <v>1425</v>
      </c>
      <c r="J86" t="s">
        <v>85</v>
      </c>
      <c r="K86" t="s">
        <v>4</v>
      </c>
      <c r="L86" t="s">
        <v>5</v>
      </c>
      <c r="M86" t="s">
        <v>6</v>
      </c>
      <c r="N86" t="s">
        <v>7</v>
      </c>
      <c r="O86" t="s">
        <v>7</v>
      </c>
      <c r="Q86" t="b">
        <f t="shared" si="15"/>
        <v>1</v>
      </c>
      <c r="R86" t="b">
        <f t="shared" si="16"/>
        <v>1</v>
      </c>
      <c r="S86" t="b">
        <f t="shared" si="17"/>
        <v>1</v>
      </c>
      <c r="T86" t="b">
        <f t="shared" si="18"/>
        <v>1</v>
      </c>
      <c r="U86" t="b">
        <f t="shared" si="19"/>
        <v>1</v>
      </c>
      <c r="V86" t="b">
        <f t="shared" si="20"/>
        <v>1</v>
      </c>
      <c r="W86" t="b">
        <f t="shared" si="21"/>
        <v>1</v>
      </c>
      <c r="X86" t="b">
        <f t="shared" si="22"/>
        <v>1</v>
      </c>
      <c r="Y86" t="b">
        <f t="shared" si="23"/>
        <v>1</v>
      </c>
      <c r="Z86" t="b">
        <f t="shared" si="24"/>
        <v>1</v>
      </c>
      <c r="AA86" t="b">
        <f t="shared" si="25"/>
        <v>1</v>
      </c>
      <c r="AB86" t="b">
        <f t="shared" si="26"/>
        <v>1</v>
      </c>
      <c r="AC86" t="b">
        <f t="shared" si="27"/>
        <v>1</v>
      </c>
      <c r="AD86" t="b">
        <f t="shared" si="28"/>
        <v>1</v>
      </c>
      <c r="AE86" t="b">
        <f t="shared" si="29"/>
        <v>1</v>
      </c>
      <c r="AG86" s="1">
        <v>2718718</v>
      </c>
      <c r="AH86" t="s">
        <v>651</v>
      </c>
      <c r="AI86">
        <v>550</v>
      </c>
      <c r="AJ86" t="s">
        <v>503</v>
      </c>
      <c r="AK86" s="2">
        <v>46224</v>
      </c>
      <c r="AL86" s="2">
        <v>46224</v>
      </c>
      <c r="AM86" s="3">
        <v>3</v>
      </c>
      <c r="AN86" t="s">
        <v>20</v>
      </c>
      <c r="AO86" s="3">
        <v>1425</v>
      </c>
      <c r="AP86" t="s">
        <v>572</v>
      </c>
      <c r="AR86" t="s">
        <v>505</v>
      </c>
    </row>
    <row r="87" spans="1:47" x14ac:dyDescent="0.25">
      <c r="A87" s="1">
        <v>2722431</v>
      </c>
      <c r="B87" t="s">
        <v>169</v>
      </c>
      <c r="C87">
        <v>550</v>
      </c>
      <c r="D87" t="s">
        <v>1</v>
      </c>
      <c r="E87" s="2">
        <v>46224</v>
      </c>
      <c r="F87" s="2">
        <v>46224</v>
      </c>
      <c r="G87" s="3">
        <v>7</v>
      </c>
      <c r="H87" t="s">
        <v>11</v>
      </c>
      <c r="I87" s="3">
        <v>15400</v>
      </c>
      <c r="J87" t="s">
        <v>170</v>
      </c>
      <c r="K87" t="s">
        <v>4</v>
      </c>
      <c r="L87" t="s">
        <v>37</v>
      </c>
      <c r="M87" t="s">
        <v>23</v>
      </c>
      <c r="N87" t="s">
        <v>171</v>
      </c>
      <c r="O87" t="s">
        <v>7</v>
      </c>
      <c r="Q87" t="b">
        <f t="shared" si="15"/>
        <v>1</v>
      </c>
      <c r="R87" t="b">
        <f t="shared" si="16"/>
        <v>1</v>
      </c>
      <c r="S87" t="b">
        <f t="shared" si="17"/>
        <v>1</v>
      </c>
      <c r="T87" t="b">
        <f t="shared" si="18"/>
        <v>1</v>
      </c>
      <c r="U87" t="b">
        <f t="shared" si="19"/>
        <v>1</v>
      </c>
      <c r="V87" t="b">
        <f t="shared" si="20"/>
        <v>1</v>
      </c>
      <c r="W87" t="b">
        <f t="shared" si="21"/>
        <v>1</v>
      </c>
      <c r="X87" t="b">
        <f t="shared" si="22"/>
        <v>1</v>
      </c>
      <c r="Y87" t="b">
        <f t="shared" si="23"/>
        <v>1</v>
      </c>
      <c r="Z87" t="b">
        <f t="shared" si="24"/>
        <v>1</v>
      </c>
      <c r="AA87" t="b">
        <f t="shared" si="25"/>
        <v>1</v>
      </c>
      <c r="AB87" t="b">
        <f t="shared" si="26"/>
        <v>1</v>
      </c>
      <c r="AC87" t="b">
        <f t="shared" si="27"/>
        <v>1</v>
      </c>
      <c r="AD87" t="b">
        <f t="shared" si="28"/>
        <v>1</v>
      </c>
      <c r="AE87" t="b">
        <f t="shared" si="29"/>
        <v>1</v>
      </c>
      <c r="AG87" s="1">
        <v>2722431</v>
      </c>
      <c r="AH87" t="s">
        <v>652</v>
      </c>
      <c r="AI87">
        <v>550</v>
      </c>
      <c r="AJ87" t="s">
        <v>503</v>
      </c>
      <c r="AK87" s="2">
        <v>46224</v>
      </c>
      <c r="AL87" s="2">
        <v>46224</v>
      </c>
      <c r="AM87" s="3">
        <v>7</v>
      </c>
      <c r="AN87" t="s">
        <v>11</v>
      </c>
      <c r="AO87" s="3">
        <v>15400</v>
      </c>
      <c r="AP87" t="s">
        <v>653</v>
      </c>
      <c r="AR87" t="s">
        <v>528</v>
      </c>
      <c r="AS87" t="s">
        <v>23</v>
      </c>
      <c r="AT87" t="s">
        <v>654</v>
      </c>
    </row>
    <row r="88" spans="1:47" x14ac:dyDescent="0.25">
      <c r="A88" s="1">
        <v>2729250</v>
      </c>
      <c r="B88" t="s">
        <v>172</v>
      </c>
      <c r="C88">
        <v>540</v>
      </c>
      <c r="D88" t="s">
        <v>1</v>
      </c>
      <c r="E88" s="2">
        <v>46224</v>
      </c>
      <c r="F88" s="2">
        <v>46224</v>
      </c>
      <c r="G88" s="3">
        <v>4</v>
      </c>
      <c r="H88" t="s">
        <v>20</v>
      </c>
      <c r="I88" s="3">
        <v>1800</v>
      </c>
      <c r="J88" t="s">
        <v>105</v>
      </c>
      <c r="K88" t="s">
        <v>4</v>
      </c>
      <c r="L88" t="s">
        <v>40</v>
      </c>
      <c r="M88" t="s">
        <v>6</v>
      </c>
      <c r="N88" t="s">
        <v>7</v>
      </c>
      <c r="O88" t="s">
        <v>7</v>
      </c>
      <c r="Q88" t="b">
        <f t="shared" si="15"/>
        <v>1</v>
      </c>
      <c r="R88" t="b">
        <f t="shared" si="16"/>
        <v>1</v>
      </c>
      <c r="S88" t="b">
        <f t="shared" si="17"/>
        <v>1</v>
      </c>
      <c r="T88" t="b">
        <f t="shared" si="18"/>
        <v>1</v>
      </c>
      <c r="U88" t="b">
        <f t="shared" si="19"/>
        <v>1</v>
      </c>
      <c r="V88" t="b">
        <f t="shared" si="20"/>
        <v>1</v>
      </c>
      <c r="W88" t="b">
        <f t="shared" si="21"/>
        <v>1</v>
      </c>
      <c r="X88" t="b">
        <f t="shared" si="22"/>
        <v>1</v>
      </c>
      <c r="Y88" t="b">
        <f t="shared" si="23"/>
        <v>1</v>
      </c>
      <c r="Z88" t="b">
        <f t="shared" si="24"/>
        <v>1</v>
      </c>
      <c r="AA88" t="b">
        <f t="shared" si="25"/>
        <v>1</v>
      </c>
      <c r="AB88" t="b">
        <f t="shared" si="26"/>
        <v>1</v>
      </c>
      <c r="AC88" t="b">
        <f t="shared" si="27"/>
        <v>1</v>
      </c>
      <c r="AD88" t="b">
        <f t="shared" si="28"/>
        <v>1</v>
      </c>
      <c r="AE88" t="b">
        <f t="shared" si="29"/>
        <v>1</v>
      </c>
      <c r="AG88" s="1">
        <v>2729250</v>
      </c>
      <c r="AH88" t="s">
        <v>655</v>
      </c>
      <c r="AI88">
        <v>540</v>
      </c>
      <c r="AJ88" t="s">
        <v>503</v>
      </c>
      <c r="AK88" s="2">
        <v>46224</v>
      </c>
      <c r="AL88" s="2">
        <v>46224</v>
      </c>
      <c r="AM88" s="3">
        <v>4</v>
      </c>
      <c r="AN88" t="s">
        <v>20</v>
      </c>
      <c r="AO88" s="3">
        <v>1800</v>
      </c>
      <c r="AP88" t="s">
        <v>592</v>
      </c>
      <c r="AR88" t="s">
        <v>531</v>
      </c>
    </row>
    <row r="89" spans="1:47" x14ac:dyDescent="0.25">
      <c r="A89" s="1">
        <v>2729866</v>
      </c>
      <c r="B89" t="s">
        <v>14</v>
      </c>
      <c r="C89">
        <v>530</v>
      </c>
      <c r="D89" t="s">
        <v>15</v>
      </c>
      <c r="E89" s="2">
        <v>46224</v>
      </c>
      <c r="F89" s="2">
        <v>46224</v>
      </c>
      <c r="G89" s="3">
        <v>44000</v>
      </c>
      <c r="H89" t="s">
        <v>16</v>
      </c>
      <c r="I89" s="3">
        <v>44000</v>
      </c>
      <c r="J89" t="s">
        <v>17</v>
      </c>
      <c r="K89" t="s">
        <v>4</v>
      </c>
      <c r="L89" t="s">
        <v>5</v>
      </c>
      <c r="M89" t="s">
        <v>6</v>
      </c>
      <c r="N89" t="s">
        <v>7</v>
      </c>
      <c r="O89" t="s">
        <v>18</v>
      </c>
      <c r="Q89" t="b">
        <f t="shared" si="15"/>
        <v>1</v>
      </c>
      <c r="R89" t="b">
        <f t="shared" si="16"/>
        <v>1</v>
      </c>
      <c r="S89" t="b">
        <f t="shared" si="17"/>
        <v>1</v>
      </c>
      <c r="T89" t="b">
        <f t="shared" si="18"/>
        <v>1</v>
      </c>
      <c r="U89" t="b">
        <f t="shared" si="19"/>
        <v>1</v>
      </c>
      <c r="V89" t="b">
        <f t="shared" si="20"/>
        <v>1</v>
      </c>
      <c r="W89" t="b">
        <f t="shared" si="21"/>
        <v>1</v>
      </c>
      <c r="X89" t="b">
        <f t="shared" si="22"/>
        <v>1</v>
      </c>
      <c r="Y89" t="b">
        <f t="shared" si="23"/>
        <v>1</v>
      </c>
      <c r="Z89" t="b">
        <f t="shared" si="24"/>
        <v>1</v>
      </c>
      <c r="AA89" t="b">
        <f t="shared" si="25"/>
        <v>1</v>
      </c>
      <c r="AB89" t="b">
        <f t="shared" si="26"/>
        <v>1</v>
      </c>
      <c r="AC89" t="b">
        <f t="shared" si="27"/>
        <v>1</v>
      </c>
      <c r="AD89" t="b">
        <f t="shared" si="28"/>
        <v>1</v>
      </c>
      <c r="AE89" t="b">
        <f t="shared" si="29"/>
        <v>1</v>
      </c>
      <c r="AG89" s="1">
        <v>2729866</v>
      </c>
      <c r="AH89" t="s">
        <v>510</v>
      </c>
      <c r="AI89">
        <v>530</v>
      </c>
      <c r="AJ89" t="s">
        <v>511</v>
      </c>
      <c r="AK89" s="2">
        <v>46224</v>
      </c>
      <c r="AL89" s="2">
        <v>46224</v>
      </c>
      <c r="AM89" s="3">
        <v>44000</v>
      </c>
      <c r="AN89" t="s">
        <v>16</v>
      </c>
      <c r="AO89" s="3">
        <v>44000</v>
      </c>
      <c r="AP89" t="s">
        <v>512</v>
      </c>
      <c r="AR89" t="s">
        <v>505</v>
      </c>
      <c r="AU89" t="s">
        <v>513</v>
      </c>
    </row>
    <row r="90" spans="1:47" x14ac:dyDescent="0.25">
      <c r="A90" s="1">
        <v>2732235</v>
      </c>
      <c r="B90" t="s">
        <v>173</v>
      </c>
      <c r="C90">
        <v>550</v>
      </c>
      <c r="D90" t="s">
        <v>1</v>
      </c>
      <c r="E90" s="2">
        <v>46224</v>
      </c>
      <c r="F90" s="2">
        <v>46224</v>
      </c>
      <c r="G90" s="3">
        <v>32</v>
      </c>
      <c r="H90" t="s">
        <v>20</v>
      </c>
      <c r="I90" s="3">
        <v>14400</v>
      </c>
      <c r="J90" t="s">
        <v>174</v>
      </c>
      <c r="K90" t="s">
        <v>4</v>
      </c>
      <c r="L90" t="s">
        <v>37</v>
      </c>
      <c r="M90" t="s">
        <v>23</v>
      </c>
      <c r="N90" t="s">
        <v>7</v>
      </c>
      <c r="O90" t="s">
        <v>175</v>
      </c>
      <c r="Q90" t="b">
        <f t="shared" si="15"/>
        <v>1</v>
      </c>
      <c r="R90" t="b">
        <f t="shared" si="16"/>
        <v>1</v>
      </c>
      <c r="S90" t="b">
        <f t="shared" si="17"/>
        <v>0</v>
      </c>
      <c r="T90" t="b">
        <f t="shared" si="18"/>
        <v>1</v>
      </c>
      <c r="U90" t="b">
        <f t="shared" si="19"/>
        <v>1</v>
      </c>
      <c r="V90" t="b">
        <f t="shared" si="20"/>
        <v>1</v>
      </c>
      <c r="W90" t="b">
        <f t="shared" si="21"/>
        <v>1</v>
      </c>
      <c r="X90" t="b">
        <f t="shared" si="22"/>
        <v>1</v>
      </c>
      <c r="Y90" t="b">
        <f t="shared" si="23"/>
        <v>1</v>
      </c>
      <c r="Z90" t="b">
        <f t="shared" si="24"/>
        <v>1</v>
      </c>
      <c r="AA90" t="b">
        <f t="shared" si="25"/>
        <v>1</v>
      </c>
      <c r="AB90" t="b">
        <f t="shared" si="26"/>
        <v>1</v>
      </c>
      <c r="AC90" t="b">
        <f t="shared" si="27"/>
        <v>1</v>
      </c>
      <c r="AD90" t="b">
        <f t="shared" si="28"/>
        <v>1</v>
      </c>
      <c r="AE90" t="b">
        <f t="shared" si="29"/>
        <v>1</v>
      </c>
      <c r="AG90" s="1">
        <v>2732235</v>
      </c>
      <c r="AH90" t="s">
        <v>656</v>
      </c>
      <c r="AI90">
        <v>540</v>
      </c>
      <c r="AJ90" t="s">
        <v>503</v>
      </c>
      <c r="AK90" s="2">
        <v>46224</v>
      </c>
      <c r="AL90" s="2">
        <v>46224</v>
      </c>
      <c r="AM90" s="3">
        <v>32</v>
      </c>
      <c r="AN90" t="s">
        <v>20</v>
      </c>
      <c r="AO90" s="3">
        <v>14400</v>
      </c>
      <c r="AP90" t="s">
        <v>657</v>
      </c>
      <c r="AR90" t="s">
        <v>528</v>
      </c>
      <c r="AS90" t="s">
        <v>23</v>
      </c>
      <c r="AU90" t="s">
        <v>658</v>
      </c>
    </row>
    <row r="91" spans="1:47" x14ac:dyDescent="0.25">
      <c r="A91" s="1">
        <v>2732766</v>
      </c>
      <c r="B91" t="s">
        <v>176</v>
      </c>
      <c r="C91">
        <v>540</v>
      </c>
      <c r="D91" t="s">
        <v>1</v>
      </c>
      <c r="E91" s="2">
        <v>46217</v>
      </c>
      <c r="F91" s="2">
        <v>46224</v>
      </c>
      <c r="G91" s="3">
        <v>1</v>
      </c>
      <c r="H91" t="s">
        <v>20</v>
      </c>
      <c r="I91" s="3">
        <v>450</v>
      </c>
      <c r="J91" t="s">
        <v>177</v>
      </c>
      <c r="K91" t="s">
        <v>4</v>
      </c>
      <c r="L91" t="s">
        <v>5</v>
      </c>
      <c r="M91" t="s">
        <v>6</v>
      </c>
      <c r="N91" t="s">
        <v>7</v>
      </c>
      <c r="O91" t="s">
        <v>7</v>
      </c>
      <c r="Q91" t="b">
        <f t="shared" si="15"/>
        <v>1</v>
      </c>
      <c r="R91" t="b">
        <f t="shared" si="16"/>
        <v>1</v>
      </c>
      <c r="S91" t="b">
        <f t="shared" si="17"/>
        <v>1</v>
      </c>
      <c r="T91" t="b">
        <f t="shared" si="18"/>
        <v>1</v>
      </c>
      <c r="U91" t="b">
        <f t="shared" si="19"/>
        <v>1</v>
      </c>
      <c r="V91" t="b">
        <f t="shared" si="20"/>
        <v>1</v>
      </c>
      <c r="W91" t="b">
        <f t="shared" si="21"/>
        <v>1</v>
      </c>
      <c r="X91" t="b">
        <f t="shared" si="22"/>
        <v>1</v>
      </c>
      <c r="Y91" t="b">
        <f t="shared" si="23"/>
        <v>1</v>
      </c>
      <c r="Z91" t="b">
        <f t="shared" si="24"/>
        <v>1</v>
      </c>
      <c r="AA91" t="b">
        <f t="shared" si="25"/>
        <v>1</v>
      </c>
      <c r="AB91" t="b">
        <f t="shared" si="26"/>
        <v>1</v>
      </c>
      <c r="AC91" t="b">
        <f t="shared" si="27"/>
        <v>1</v>
      </c>
      <c r="AD91" t="b">
        <f t="shared" si="28"/>
        <v>1</v>
      </c>
      <c r="AE91" t="b">
        <f t="shared" si="29"/>
        <v>1</v>
      </c>
      <c r="AG91" s="1">
        <v>2732766</v>
      </c>
      <c r="AH91" t="s">
        <v>176</v>
      </c>
      <c r="AI91">
        <v>540</v>
      </c>
      <c r="AJ91" t="s">
        <v>503</v>
      </c>
      <c r="AK91" s="2">
        <v>46217</v>
      </c>
      <c r="AL91" s="2">
        <v>46224</v>
      </c>
      <c r="AM91" s="3">
        <v>1</v>
      </c>
      <c r="AN91" t="s">
        <v>20</v>
      </c>
      <c r="AO91" s="3">
        <v>450</v>
      </c>
      <c r="AP91" t="s">
        <v>659</v>
      </c>
      <c r="AR91" t="s">
        <v>505</v>
      </c>
    </row>
    <row r="92" spans="1:47" x14ac:dyDescent="0.25">
      <c r="A92" s="1">
        <v>2733683</v>
      </c>
      <c r="B92" t="s">
        <v>0</v>
      </c>
      <c r="C92">
        <v>540</v>
      </c>
      <c r="D92" t="s">
        <v>1</v>
      </c>
      <c r="E92" s="2">
        <v>46224</v>
      </c>
      <c r="F92" s="2">
        <v>46224</v>
      </c>
      <c r="G92" s="3">
        <v>48</v>
      </c>
      <c r="H92" t="s">
        <v>8</v>
      </c>
      <c r="I92" s="3">
        <v>2112</v>
      </c>
      <c r="J92" t="s">
        <v>9</v>
      </c>
      <c r="K92" t="s">
        <v>4</v>
      </c>
      <c r="L92" t="s">
        <v>5</v>
      </c>
      <c r="M92" t="s">
        <v>6</v>
      </c>
      <c r="N92" t="s">
        <v>7</v>
      </c>
      <c r="O92" t="s">
        <v>7</v>
      </c>
      <c r="Q92" t="b">
        <f t="shared" si="15"/>
        <v>1</v>
      </c>
      <c r="R92" t="b">
        <f t="shared" si="16"/>
        <v>1</v>
      </c>
      <c r="S92" t="b">
        <f t="shared" si="17"/>
        <v>1</v>
      </c>
      <c r="T92" t="b">
        <f t="shared" si="18"/>
        <v>1</v>
      </c>
      <c r="U92" t="b">
        <f t="shared" si="19"/>
        <v>1</v>
      </c>
      <c r="V92" t="b">
        <f t="shared" si="20"/>
        <v>1</v>
      </c>
      <c r="W92" t="b">
        <f t="shared" si="21"/>
        <v>1</v>
      </c>
      <c r="X92" t="b">
        <f t="shared" si="22"/>
        <v>1</v>
      </c>
      <c r="Y92" t="b">
        <f t="shared" si="23"/>
        <v>1</v>
      </c>
      <c r="Z92" t="b">
        <f t="shared" si="24"/>
        <v>1</v>
      </c>
      <c r="AA92" t="b">
        <f t="shared" si="25"/>
        <v>1</v>
      </c>
      <c r="AB92" t="b">
        <f t="shared" si="26"/>
        <v>1</v>
      </c>
      <c r="AC92" t="b">
        <f t="shared" si="27"/>
        <v>1</v>
      </c>
      <c r="AD92" t="b">
        <f t="shared" si="28"/>
        <v>1</v>
      </c>
      <c r="AE92" t="b">
        <f t="shared" si="29"/>
        <v>1</v>
      </c>
      <c r="AG92" s="1">
        <v>2733683</v>
      </c>
      <c r="AH92" t="s">
        <v>502</v>
      </c>
      <c r="AI92">
        <v>540</v>
      </c>
      <c r="AJ92" t="s">
        <v>503</v>
      </c>
      <c r="AK92" s="2">
        <v>46224</v>
      </c>
      <c r="AL92" s="2">
        <v>46224</v>
      </c>
      <c r="AM92" s="3">
        <v>48</v>
      </c>
      <c r="AN92" t="s">
        <v>8</v>
      </c>
      <c r="AO92" s="3">
        <v>2112</v>
      </c>
      <c r="AP92" t="s">
        <v>506</v>
      </c>
      <c r="AR92" t="s">
        <v>505</v>
      </c>
    </row>
    <row r="93" spans="1:47" x14ac:dyDescent="0.25">
      <c r="A93" s="1">
        <v>2733684</v>
      </c>
      <c r="B93" t="s">
        <v>0</v>
      </c>
      <c r="C93">
        <v>540</v>
      </c>
      <c r="D93" t="s">
        <v>1</v>
      </c>
      <c r="E93" s="2">
        <v>46224</v>
      </c>
      <c r="F93" s="2">
        <v>46224</v>
      </c>
      <c r="G93" s="3">
        <v>48</v>
      </c>
      <c r="H93" t="s">
        <v>2</v>
      </c>
      <c r="I93" s="3">
        <v>1920</v>
      </c>
      <c r="J93" t="s">
        <v>3</v>
      </c>
      <c r="K93" t="s">
        <v>4</v>
      </c>
      <c r="L93" t="s">
        <v>5</v>
      </c>
      <c r="M93" t="s">
        <v>6</v>
      </c>
      <c r="N93" t="s">
        <v>7</v>
      </c>
      <c r="O93" t="s">
        <v>7</v>
      </c>
      <c r="Q93" t="b">
        <f t="shared" si="15"/>
        <v>1</v>
      </c>
      <c r="R93" t="b">
        <f t="shared" si="16"/>
        <v>1</v>
      </c>
      <c r="S93" t="b">
        <f t="shared" si="17"/>
        <v>1</v>
      </c>
      <c r="T93" t="b">
        <f t="shared" si="18"/>
        <v>1</v>
      </c>
      <c r="U93" t="b">
        <f t="shared" si="19"/>
        <v>1</v>
      </c>
      <c r="V93" t="b">
        <f t="shared" si="20"/>
        <v>1</v>
      </c>
      <c r="W93" t="b">
        <f t="shared" si="21"/>
        <v>1</v>
      </c>
      <c r="X93" t="b">
        <f t="shared" si="22"/>
        <v>1</v>
      </c>
      <c r="Y93" t="b">
        <f t="shared" si="23"/>
        <v>1</v>
      </c>
      <c r="Z93" t="b">
        <f t="shared" si="24"/>
        <v>1</v>
      </c>
      <c r="AA93" t="b">
        <f t="shared" si="25"/>
        <v>1</v>
      </c>
      <c r="AB93" t="b">
        <f t="shared" si="26"/>
        <v>1</v>
      </c>
      <c r="AC93" t="b">
        <f t="shared" si="27"/>
        <v>1</v>
      </c>
      <c r="AD93" t="b">
        <f t="shared" si="28"/>
        <v>1</v>
      </c>
      <c r="AE93" t="b">
        <f t="shared" si="29"/>
        <v>1</v>
      </c>
      <c r="AG93" s="1">
        <v>2733684</v>
      </c>
      <c r="AH93" t="s">
        <v>502</v>
      </c>
      <c r="AI93">
        <v>540</v>
      </c>
      <c r="AJ93" t="s">
        <v>503</v>
      </c>
      <c r="AK93" s="2">
        <v>46224</v>
      </c>
      <c r="AL93" s="2">
        <v>46224</v>
      </c>
      <c r="AM93" s="3">
        <v>48</v>
      </c>
      <c r="AN93" t="s">
        <v>2</v>
      </c>
      <c r="AO93" s="3">
        <v>1920</v>
      </c>
      <c r="AP93" t="s">
        <v>504</v>
      </c>
      <c r="AR93" t="s">
        <v>505</v>
      </c>
    </row>
    <row r="94" spans="1:47" x14ac:dyDescent="0.25">
      <c r="A94" s="1">
        <v>2733684</v>
      </c>
      <c r="B94" t="s">
        <v>0</v>
      </c>
      <c r="C94">
        <v>540</v>
      </c>
      <c r="D94" t="s">
        <v>1</v>
      </c>
      <c r="E94" s="2">
        <v>46224</v>
      </c>
      <c r="F94" s="2">
        <v>46224</v>
      </c>
      <c r="G94" s="3">
        <v>48</v>
      </c>
      <c r="H94" t="s">
        <v>8</v>
      </c>
      <c r="I94" s="3">
        <v>2112</v>
      </c>
      <c r="J94" t="s">
        <v>9</v>
      </c>
      <c r="K94" t="s">
        <v>4</v>
      </c>
      <c r="L94" t="s">
        <v>5</v>
      </c>
      <c r="M94" t="s">
        <v>6</v>
      </c>
      <c r="N94" t="s">
        <v>7</v>
      </c>
      <c r="O94" t="s">
        <v>7</v>
      </c>
      <c r="Q94" t="b">
        <f t="shared" si="15"/>
        <v>1</v>
      </c>
      <c r="R94" t="b">
        <f t="shared" si="16"/>
        <v>1</v>
      </c>
      <c r="S94" t="b">
        <f t="shared" si="17"/>
        <v>1</v>
      </c>
      <c r="T94" t="b">
        <f t="shared" si="18"/>
        <v>1</v>
      </c>
      <c r="U94" t="b">
        <f t="shared" si="19"/>
        <v>1</v>
      </c>
      <c r="V94" t="b">
        <f t="shared" si="20"/>
        <v>1</v>
      </c>
      <c r="W94" t="b">
        <f t="shared" si="21"/>
        <v>1</v>
      </c>
      <c r="X94" t="b">
        <f t="shared" si="22"/>
        <v>1</v>
      </c>
      <c r="Y94" t="b">
        <f t="shared" si="23"/>
        <v>1</v>
      </c>
      <c r="Z94" t="b">
        <f t="shared" si="24"/>
        <v>1</v>
      </c>
      <c r="AA94" t="b">
        <f t="shared" si="25"/>
        <v>1</v>
      </c>
      <c r="AB94" t="b">
        <f t="shared" si="26"/>
        <v>1</v>
      </c>
      <c r="AC94" t="b">
        <f t="shared" si="27"/>
        <v>1</v>
      </c>
      <c r="AD94" t="b">
        <f t="shared" si="28"/>
        <v>1</v>
      </c>
      <c r="AE94" t="b">
        <f t="shared" si="29"/>
        <v>1</v>
      </c>
      <c r="AG94" s="1">
        <v>2733684</v>
      </c>
      <c r="AH94" t="s">
        <v>502</v>
      </c>
      <c r="AI94">
        <v>540</v>
      </c>
      <c r="AJ94" t="s">
        <v>503</v>
      </c>
      <c r="AK94" s="2">
        <v>46224</v>
      </c>
      <c r="AL94" s="2">
        <v>46224</v>
      </c>
      <c r="AM94" s="3">
        <v>48</v>
      </c>
      <c r="AN94" t="s">
        <v>8</v>
      </c>
      <c r="AO94" s="3">
        <v>2112</v>
      </c>
      <c r="AP94" t="s">
        <v>506</v>
      </c>
      <c r="AR94" t="s">
        <v>505</v>
      </c>
    </row>
    <row r="95" spans="1:47" x14ac:dyDescent="0.25">
      <c r="A95" s="1">
        <v>2733684</v>
      </c>
      <c r="B95" t="s">
        <v>0</v>
      </c>
      <c r="C95">
        <v>540</v>
      </c>
      <c r="D95" t="s">
        <v>1</v>
      </c>
      <c r="E95" s="2">
        <v>46224</v>
      </c>
      <c r="F95" s="2">
        <v>46224</v>
      </c>
      <c r="G95" s="3">
        <v>24</v>
      </c>
      <c r="H95" t="s">
        <v>8</v>
      </c>
      <c r="I95" s="3">
        <v>1056</v>
      </c>
      <c r="J95" t="s">
        <v>178</v>
      </c>
      <c r="K95" t="s">
        <v>4</v>
      </c>
      <c r="L95" t="s">
        <v>5</v>
      </c>
      <c r="M95" t="s">
        <v>6</v>
      </c>
      <c r="N95" t="s">
        <v>7</v>
      </c>
      <c r="O95" t="s">
        <v>7</v>
      </c>
      <c r="Q95" t="b">
        <f t="shared" si="15"/>
        <v>1</v>
      </c>
      <c r="R95" t="b">
        <f t="shared" si="16"/>
        <v>1</v>
      </c>
      <c r="S95" t="b">
        <f t="shared" si="17"/>
        <v>1</v>
      </c>
      <c r="T95" t="b">
        <f t="shared" si="18"/>
        <v>1</v>
      </c>
      <c r="U95" t="b">
        <f t="shared" si="19"/>
        <v>1</v>
      </c>
      <c r="V95" t="b">
        <f t="shared" si="20"/>
        <v>1</v>
      </c>
      <c r="W95" t="b">
        <f t="shared" si="21"/>
        <v>1</v>
      </c>
      <c r="X95" t="b">
        <f t="shared" si="22"/>
        <v>1</v>
      </c>
      <c r="Y95" t="b">
        <f t="shared" si="23"/>
        <v>1</v>
      </c>
      <c r="Z95" t="b">
        <f t="shared" si="24"/>
        <v>1</v>
      </c>
      <c r="AA95" t="b">
        <f t="shared" si="25"/>
        <v>1</v>
      </c>
      <c r="AB95" t="b">
        <f t="shared" si="26"/>
        <v>1</v>
      </c>
      <c r="AC95" t="b">
        <f t="shared" si="27"/>
        <v>1</v>
      </c>
      <c r="AD95" t="b">
        <f t="shared" si="28"/>
        <v>1</v>
      </c>
      <c r="AE95" t="b">
        <f t="shared" si="29"/>
        <v>1</v>
      </c>
      <c r="AG95" s="1">
        <v>2733684</v>
      </c>
      <c r="AH95" t="s">
        <v>502</v>
      </c>
      <c r="AI95">
        <v>540</v>
      </c>
      <c r="AJ95" t="s">
        <v>503</v>
      </c>
      <c r="AK95" s="2">
        <v>46224</v>
      </c>
      <c r="AL95" s="2">
        <v>46224</v>
      </c>
      <c r="AM95" s="3">
        <v>24</v>
      </c>
      <c r="AN95" t="s">
        <v>8</v>
      </c>
      <c r="AO95" s="3">
        <v>1056</v>
      </c>
      <c r="AP95" t="s">
        <v>660</v>
      </c>
      <c r="AR95" t="s">
        <v>505</v>
      </c>
    </row>
    <row r="96" spans="1:47" x14ac:dyDescent="0.25">
      <c r="A96" s="1">
        <v>2733685</v>
      </c>
      <c r="B96" t="s">
        <v>0</v>
      </c>
      <c r="C96">
        <v>540</v>
      </c>
      <c r="D96" t="s">
        <v>1</v>
      </c>
      <c r="E96" s="2">
        <v>46224</v>
      </c>
      <c r="F96" s="2">
        <v>46224</v>
      </c>
      <c r="G96" s="3">
        <v>24</v>
      </c>
      <c r="H96" t="s">
        <v>8</v>
      </c>
      <c r="I96" s="3">
        <v>1056</v>
      </c>
      <c r="J96" t="s">
        <v>9</v>
      </c>
      <c r="K96" t="s">
        <v>4</v>
      </c>
      <c r="L96" t="s">
        <v>5</v>
      </c>
      <c r="M96" t="s">
        <v>6</v>
      </c>
      <c r="N96" t="s">
        <v>7</v>
      </c>
      <c r="O96" t="s">
        <v>7</v>
      </c>
      <c r="Q96" t="b">
        <f t="shared" si="15"/>
        <v>1</v>
      </c>
      <c r="R96" t="b">
        <f t="shared" si="16"/>
        <v>1</v>
      </c>
      <c r="S96" t="b">
        <f t="shared" si="17"/>
        <v>1</v>
      </c>
      <c r="T96" t="b">
        <f t="shared" si="18"/>
        <v>1</v>
      </c>
      <c r="U96" t="b">
        <f t="shared" si="19"/>
        <v>1</v>
      </c>
      <c r="V96" t="b">
        <f t="shared" si="20"/>
        <v>1</v>
      </c>
      <c r="W96" t="b">
        <f t="shared" si="21"/>
        <v>1</v>
      </c>
      <c r="X96" t="b">
        <f t="shared" si="22"/>
        <v>1</v>
      </c>
      <c r="Y96" t="b">
        <f t="shared" si="23"/>
        <v>1</v>
      </c>
      <c r="Z96" t="b">
        <f t="shared" si="24"/>
        <v>1</v>
      </c>
      <c r="AA96" t="b">
        <f t="shared" si="25"/>
        <v>1</v>
      </c>
      <c r="AB96" t="b">
        <f t="shared" si="26"/>
        <v>1</v>
      </c>
      <c r="AC96" t="b">
        <f t="shared" si="27"/>
        <v>1</v>
      </c>
      <c r="AD96" t="b">
        <f t="shared" si="28"/>
        <v>1</v>
      </c>
      <c r="AE96" t="b">
        <f t="shared" si="29"/>
        <v>1</v>
      </c>
      <c r="AG96" s="1">
        <v>2733685</v>
      </c>
      <c r="AH96" t="s">
        <v>502</v>
      </c>
      <c r="AI96">
        <v>540</v>
      </c>
      <c r="AJ96" t="s">
        <v>503</v>
      </c>
      <c r="AK96" s="2">
        <v>46224</v>
      </c>
      <c r="AL96" s="2">
        <v>46224</v>
      </c>
      <c r="AM96" s="3">
        <v>24</v>
      </c>
      <c r="AN96" t="s">
        <v>8</v>
      </c>
      <c r="AO96" s="3">
        <v>1056</v>
      </c>
      <c r="AP96" t="s">
        <v>506</v>
      </c>
      <c r="AR96" t="s">
        <v>505</v>
      </c>
    </row>
    <row r="97" spans="1:47" x14ac:dyDescent="0.25">
      <c r="A97" s="1">
        <v>2733685</v>
      </c>
      <c r="B97" t="s">
        <v>0</v>
      </c>
      <c r="C97">
        <v>540</v>
      </c>
      <c r="D97" t="s">
        <v>1</v>
      </c>
      <c r="E97" s="2">
        <v>46224</v>
      </c>
      <c r="F97" s="2">
        <v>46224</v>
      </c>
      <c r="G97" s="3">
        <v>24</v>
      </c>
      <c r="H97" t="s">
        <v>8</v>
      </c>
      <c r="I97" s="3">
        <v>1056</v>
      </c>
      <c r="J97" t="s">
        <v>178</v>
      </c>
      <c r="K97" t="s">
        <v>4</v>
      </c>
      <c r="L97" t="s">
        <v>5</v>
      </c>
      <c r="M97" t="s">
        <v>6</v>
      </c>
      <c r="N97" t="s">
        <v>7</v>
      </c>
      <c r="O97" t="s">
        <v>7</v>
      </c>
      <c r="Q97" t="b">
        <f t="shared" si="15"/>
        <v>1</v>
      </c>
      <c r="R97" t="b">
        <f t="shared" si="16"/>
        <v>1</v>
      </c>
      <c r="S97" t="b">
        <f t="shared" si="17"/>
        <v>1</v>
      </c>
      <c r="T97" t="b">
        <f t="shared" si="18"/>
        <v>1</v>
      </c>
      <c r="U97" t="b">
        <f t="shared" si="19"/>
        <v>1</v>
      </c>
      <c r="V97" t="b">
        <f t="shared" si="20"/>
        <v>1</v>
      </c>
      <c r="W97" t="b">
        <f t="shared" si="21"/>
        <v>1</v>
      </c>
      <c r="X97" t="b">
        <f t="shared" si="22"/>
        <v>1</v>
      </c>
      <c r="Y97" t="b">
        <f t="shared" si="23"/>
        <v>1</v>
      </c>
      <c r="Z97" t="b">
        <f t="shared" si="24"/>
        <v>1</v>
      </c>
      <c r="AA97" t="b">
        <f t="shared" si="25"/>
        <v>1</v>
      </c>
      <c r="AB97" t="b">
        <f t="shared" si="26"/>
        <v>1</v>
      </c>
      <c r="AC97" t="b">
        <f t="shared" si="27"/>
        <v>1</v>
      </c>
      <c r="AD97" t="b">
        <f t="shared" si="28"/>
        <v>1</v>
      </c>
      <c r="AE97" t="b">
        <f t="shared" si="29"/>
        <v>1</v>
      </c>
      <c r="AG97" s="1">
        <v>2733685</v>
      </c>
      <c r="AH97" t="s">
        <v>502</v>
      </c>
      <c r="AI97">
        <v>540</v>
      </c>
      <c r="AJ97" t="s">
        <v>503</v>
      </c>
      <c r="AK97" s="2">
        <v>46224</v>
      </c>
      <c r="AL97" s="2">
        <v>46224</v>
      </c>
      <c r="AM97" s="3">
        <v>24</v>
      </c>
      <c r="AN97" t="s">
        <v>8</v>
      </c>
      <c r="AO97" s="3">
        <v>1056</v>
      </c>
      <c r="AP97" t="s">
        <v>660</v>
      </c>
      <c r="AR97" t="s">
        <v>505</v>
      </c>
    </row>
    <row r="98" spans="1:47" x14ac:dyDescent="0.25">
      <c r="A98" s="1">
        <v>2733686</v>
      </c>
      <c r="B98" t="s">
        <v>0</v>
      </c>
      <c r="C98">
        <v>540</v>
      </c>
      <c r="D98" t="s">
        <v>1</v>
      </c>
      <c r="E98" s="2">
        <v>46224</v>
      </c>
      <c r="F98" s="2">
        <v>46224</v>
      </c>
      <c r="G98" s="3">
        <v>96</v>
      </c>
      <c r="H98" t="s">
        <v>2</v>
      </c>
      <c r="I98" s="3">
        <v>3840</v>
      </c>
      <c r="J98" t="s">
        <v>3</v>
      </c>
      <c r="K98" t="s">
        <v>4</v>
      </c>
      <c r="L98" t="s">
        <v>5</v>
      </c>
      <c r="M98" t="s">
        <v>6</v>
      </c>
      <c r="N98" t="s">
        <v>7</v>
      </c>
      <c r="O98" t="s">
        <v>7</v>
      </c>
      <c r="Q98" t="b">
        <f t="shared" si="15"/>
        <v>1</v>
      </c>
      <c r="R98" t="b">
        <f t="shared" si="16"/>
        <v>1</v>
      </c>
      <c r="S98" t="b">
        <f t="shared" si="17"/>
        <v>1</v>
      </c>
      <c r="T98" t="b">
        <f t="shared" si="18"/>
        <v>1</v>
      </c>
      <c r="U98" t="b">
        <f t="shared" si="19"/>
        <v>1</v>
      </c>
      <c r="V98" t="b">
        <f t="shared" si="20"/>
        <v>1</v>
      </c>
      <c r="W98" t="b">
        <f t="shared" si="21"/>
        <v>1</v>
      </c>
      <c r="X98" t="b">
        <f t="shared" si="22"/>
        <v>1</v>
      </c>
      <c r="Y98" t="b">
        <f t="shared" si="23"/>
        <v>1</v>
      </c>
      <c r="Z98" t="b">
        <f t="shared" si="24"/>
        <v>1</v>
      </c>
      <c r="AA98" t="b">
        <f t="shared" si="25"/>
        <v>1</v>
      </c>
      <c r="AB98" t="b">
        <f t="shared" si="26"/>
        <v>1</v>
      </c>
      <c r="AC98" t="b">
        <f t="shared" si="27"/>
        <v>1</v>
      </c>
      <c r="AD98" t="b">
        <f t="shared" si="28"/>
        <v>1</v>
      </c>
      <c r="AE98" t="b">
        <f t="shared" si="29"/>
        <v>1</v>
      </c>
      <c r="AG98" s="1">
        <v>2733686</v>
      </c>
      <c r="AH98" t="s">
        <v>502</v>
      </c>
      <c r="AI98">
        <v>540</v>
      </c>
      <c r="AJ98" t="s">
        <v>503</v>
      </c>
      <c r="AK98" s="2">
        <v>46224</v>
      </c>
      <c r="AL98" s="2">
        <v>46224</v>
      </c>
      <c r="AM98" s="3">
        <v>96</v>
      </c>
      <c r="AN98" t="s">
        <v>2</v>
      </c>
      <c r="AO98" s="3">
        <v>3840</v>
      </c>
      <c r="AP98" t="s">
        <v>504</v>
      </c>
      <c r="AR98" t="s">
        <v>505</v>
      </c>
    </row>
    <row r="99" spans="1:47" x14ac:dyDescent="0.25">
      <c r="A99" s="1">
        <v>2733686</v>
      </c>
      <c r="B99" t="s">
        <v>0</v>
      </c>
      <c r="C99">
        <v>540</v>
      </c>
      <c r="D99" t="s">
        <v>1</v>
      </c>
      <c r="E99" s="2">
        <v>46224</v>
      </c>
      <c r="F99" s="2">
        <v>46224</v>
      </c>
      <c r="G99" s="3">
        <v>24</v>
      </c>
      <c r="H99" t="s">
        <v>8</v>
      </c>
      <c r="I99" s="3">
        <v>1056</v>
      </c>
      <c r="J99" t="s">
        <v>9</v>
      </c>
      <c r="K99" t="s">
        <v>4</v>
      </c>
      <c r="L99" t="s">
        <v>5</v>
      </c>
      <c r="M99" t="s">
        <v>6</v>
      </c>
      <c r="N99" t="s">
        <v>7</v>
      </c>
      <c r="O99" t="s">
        <v>7</v>
      </c>
      <c r="Q99" t="b">
        <f t="shared" si="15"/>
        <v>1</v>
      </c>
      <c r="R99" t="b">
        <f t="shared" si="16"/>
        <v>1</v>
      </c>
      <c r="S99" t="b">
        <f t="shared" si="17"/>
        <v>1</v>
      </c>
      <c r="T99" t="b">
        <f t="shared" si="18"/>
        <v>1</v>
      </c>
      <c r="U99" t="b">
        <f t="shared" si="19"/>
        <v>1</v>
      </c>
      <c r="V99" t="b">
        <f t="shared" si="20"/>
        <v>1</v>
      </c>
      <c r="W99" t="b">
        <f t="shared" si="21"/>
        <v>1</v>
      </c>
      <c r="X99" t="b">
        <f t="shared" si="22"/>
        <v>1</v>
      </c>
      <c r="Y99" t="b">
        <f t="shared" si="23"/>
        <v>1</v>
      </c>
      <c r="Z99" t="b">
        <f t="shared" si="24"/>
        <v>1</v>
      </c>
      <c r="AA99" t="b">
        <f t="shared" si="25"/>
        <v>1</v>
      </c>
      <c r="AB99" t="b">
        <f t="shared" si="26"/>
        <v>1</v>
      </c>
      <c r="AC99" t="b">
        <f t="shared" si="27"/>
        <v>1</v>
      </c>
      <c r="AD99" t="b">
        <f t="shared" si="28"/>
        <v>1</v>
      </c>
      <c r="AE99" t="b">
        <f t="shared" si="29"/>
        <v>1</v>
      </c>
      <c r="AG99" s="1">
        <v>2733686</v>
      </c>
      <c r="AH99" t="s">
        <v>502</v>
      </c>
      <c r="AI99">
        <v>540</v>
      </c>
      <c r="AJ99" t="s">
        <v>503</v>
      </c>
      <c r="AK99" s="2">
        <v>46224</v>
      </c>
      <c r="AL99" s="2">
        <v>46224</v>
      </c>
      <c r="AM99" s="3">
        <v>24</v>
      </c>
      <c r="AN99" t="s">
        <v>8</v>
      </c>
      <c r="AO99" s="3">
        <v>1056</v>
      </c>
      <c r="AP99" t="s">
        <v>506</v>
      </c>
      <c r="AR99" t="s">
        <v>505</v>
      </c>
    </row>
    <row r="100" spans="1:47" x14ac:dyDescent="0.25">
      <c r="A100" s="1">
        <v>2733686</v>
      </c>
      <c r="B100" t="s">
        <v>0</v>
      </c>
      <c r="C100">
        <v>540</v>
      </c>
      <c r="D100" t="s">
        <v>1</v>
      </c>
      <c r="E100" s="2">
        <v>46224</v>
      </c>
      <c r="F100" s="2">
        <v>46224</v>
      </c>
      <c r="G100" s="3">
        <v>24</v>
      </c>
      <c r="H100" t="s">
        <v>8</v>
      </c>
      <c r="I100" s="3">
        <v>1056</v>
      </c>
      <c r="J100" t="s">
        <v>178</v>
      </c>
      <c r="K100" t="s">
        <v>4</v>
      </c>
      <c r="L100" t="s">
        <v>5</v>
      </c>
      <c r="M100" t="s">
        <v>6</v>
      </c>
      <c r="N100" t="s">
        <v>7</v>
      </c>
      <c r="O100" t="s">
        <v>7</v>
      </c>
      <c r="Q100" t="b">
        <f t="shared" si="15"/>
        <v>1</v>
      </c>
      <c r="R100" t="b">
        <f t="shared" si="16"/>
        <v>1</v>
      </c>
      <c r="S100" t="b">
        <f t="shared" si="17"/>
        <v>1</v>
      </c>
      <c r="T100" t="b">
        <f t="shared" si="18"/>
        <v>1</v>
      </c>
      <c r="U100" t="b">
        <f t="shared" si="19"/>
        <v>1</v>
      </c>
      <c r="V100" t="b">
        <f t="shared" si="20"/>
        <v>1</v>
      </c>
      <c r="W100" t="b">
        <f t="shared" si="21"/>
        <v>1</v>
      </c>
      <c r="X100" t="b">
        <f t="shared" si="22"/>
        <v>1</v>
      </c>
      <c r="Y100" t="b">
        <f t="shared" si="23"/>
        <v>1</v>
      </c>
      <c r="Z100" t="b">
        <f t="shared" si="24"/>
        <v>1</v>
      </c>
      <c r="AA100" t="b">
        <f t="shared" si="25"/>
        <v>1</v>
      </c>
      <c r="AB100" t="b">
        <f t="shared" si="26"/>
        <v>1</v>
      </c>
      <c r="AC100" t="b">
        <f t="shared" si="27"/>
        <v>1</v>
      </c>
      <c r="AD100" t="b">
        <f t="shared" si="28"/>
        <v>1</v>
      </c>
      <c r="AE100" t="b">
        <f t="shared" si="29"/>
        <v>1</v>
      </c>
      <c r="AG100" s="1">
        <v>2733686</v>
      </c>
      <c r="AH100" t="s">
        <v>502</v>
      </c>
      <c r="AI100">
        <v>540</v>
      </c>
      <c r="AJ100" t="s">
        <v>503</v>
      </c>
      <c r="AK100" s="2">
        <v>46224</v>
      </c>
      <c r="AL100" s="2">
        <v>46224</v>
      </c>
      <c r="AM100" s="3">
        <v>24</v>
      </c>
      <c r="AN100" t="s">
        <v>8</v>
      </c>
      <c r="AO100" s="3">
        <v>1056</v>
      </c>
      <c r="AP100" t="s">
        <v>660</v>
      </c>
      <c r="AR100" t="s">
        <v>505</v>
      </c>
    </row>
    <row r="101" spans="1:47" x14ac:dyDescent="0.25">
      <c r="A101" s="1">
        <v>2733688</v>
      </c>
      <c r="B101" t="s">
        <v>0</v>
      </c>
      <c r="C101">
        <v>540</v>
      </c>
      <c r="D101" t="s">
        <v>1</v>
      </c>
      <c r="E101" s="2">
        <v>46224</v>
      </c>
      <c r="F101" s="2">
        <v>46224</v>
      </c>
      <c r="G101" s="3">
        <v>72</v>
      </c>
      <c r="H101" t="s">
        <v>8</v>
      </c>
      <c r="I101" s="3">
        <v>3168</v>
      </c>
      <c r="J101" t="s">
        <v>9</v>
      </c>
      <c r="K101" t="s">
        <v>4</v>
      </c>
      <c r="L101" t="s">
        <v>5</v>
      </c>
      <c r="M101" t="s">
        <v>6</v>
      </c>
      <c r="N101" t="s">
        <v>7</v>
      </c>
      <c r="O101" t="s">
        <v>7</v>
      </c>
      <c r="Q101" t="b">
        <f t="shared" si="15"/>
        <v>1</v>
      </c>
      <c r="R101" t="b">
        <f t="shared" si="16"/>
        <v>1</v>
      </c>
      <c r="S101" t="b">
        <f t="shared" si="17"/>
        <v>1</v>
      </c>
      <c r="T101" t="b">
        <f t="shared" si="18"/>
        <v>1</v>
      </c>
      <c r="U101" t="b">
        <f t="shared" si="19"/>
        <v>1</v>
      </c>
      <c r="V101" t="b">
        <f t="shared" si="20"/>
        <v>1</v>
      </c>
      <c r="W101" t="b">
        <f t="shared" si="21"/>
        <v>1</v>
      </c>
      <c r="X101" t="b">
        <f t="shared" si="22"/>
        <v>1</v>
      </c>
      <c r="Y101" t="b">
        <f t="shared" si="23"/>
        <v>1</v>
      </c>
      <c r="Z101" t="b">
        <f t="shared" si="24"/>
        <v>1</v>
      </c>
      <c r="AA101" t="b">
        <f t="shared" si="25"/>
        <v>1</v>
      </c>
      <c r="AB101" t="b">
        <f t="shared" si="26"/>
        <v>1</v>
      </c>
      <c r="AC101" t="b">
        <f t="shared" si="27"/>
        <v>1</v>
      </c>
      <c r="AD101" t="b">
        <f t="shared" si="28"/>
        <v>1</v>
      </c>
      <c r="AE101" t="b">
        <f t="shared" si="29"/>
        <v>1</v>
      </c>
      <c r="AG101" s="1">
        <v>2733688</v>
      </c>
      <c r="AH101" t="s">
        <v>502</v>
      </c>
      <c r="AI101">
        <v>540</v>
      </c>
      <c r="AJ101" t="s">
        <v>503</v>
      </c>
      <c r="AK101" s="2">
        <v>46224</v>
      </c>
      <c r="AL101" s="2">
        <v>46224</v>
      </c>
      <c r="AM101" s="3">
        <v>72</v>
      </c>
      <c r="AN101" t="s">
        <v>8</v>
      </c>
      <c r="AO101" s="3">
        <v>3168</v>
      </c>
      <c r="AP101" t="s">
        <v>506</v>
      </c>
      <c r="AR101" t="s">
        <v>505</v>
      </c>
    </row>
    <row r="102" spans="1:47" x14ac:dyDescent="0.25">
      <c r="A102" s="1">
        <v>2733787</v>
      </c>
      <c r="B102" t="s">
        <v>14</v>
      </c>
      <c r="C102">
        <v>530</v>
      </c>
      <c r="D102" t="s">
        <v>15</v>
      </c>
      <c r="E102" s="2">
        <v>46224</v>
      </c>
      <c r="F102" s="2">
        <v>46224</v>
      </c>
      <c r="G102" s="3">
        <v>44000</v>
      </c>
      <c r="H102" t="s">
        <v>16</v>
      </c>
      <c r="I102" s="3">
        <v>44000</v>
      </c>
      <c r="J102" t="s">
        <v>17</v>
      </c>
      <c r="K102" t="s">
        <v>4</v>
      </c>
      <c r="L102" t="s">
        <v>5</v>
      </c>
      <c r="M102" t="s">
        <v>6</v>
      </c>
      <c r="N102" t="s">
        <v>7</v>
      </c>
      <c r="O102" t="s">
        <v>18</v>
      </c>
      <c r="Q102" t="b">
        <f t="shared" si="15"/>
        <v>1</v>
      </c>
      <c r="R102" t="b">
        <f t="shared" si="16"/>
        <v>1</v>
      </c>
      <c r="S102" t="b">
        <f t="shared" si="17"/>
        <v>1</v>
      </c>
      <c r="T102" t="b">
        <f t="shared" si="18"/>
        <v>1</v>
      </c>
      <c r="U102" t="b">
        <f t="shared" si="19"/>
        <v>1</v>
      </c>
      <c r="V102" t="b">
        <f t="shared" si="20"/>
        <v>1</v>
      </c>
      <c r="W102" t="b">
        <f t="shared" si="21"/>
        <v>1</v>
      </c>
      <c r="X102" t="b">
        <f t="shared" si="22"/>
        <v>1</v>
      </c>
      <c r="Y102" t="b">
        <f t="shared" si="23"/>
        <v>1</v>
      </c>
      <c r="Z102" t="b">
        <f t="shared" si="24"/>
        <v>1</v>
      </c>
      <c r="AA102" t="b">
        <f t="shared" si="25"/>
        <v>1</v>
      </c>
      <c r="AB102" t="b">
        <f t="shared" si="26"/>
        <v>1</v>
      </c>
      <c r="AC102" t="b">
        <f t="shared" si="27"/>
        <v>1</v>
      </c>
      <c r="AD102" t="b">
        <f t="shared" si="28"/>
        <v>1</v>
      </c>
      <c r="AE102" t="b">
        <f t="shared" si="29"/>
        <v>1</v>
      </c>
      <c r="AG102" s="1">
        <v>2733787</v>
      </c>
      <c r="AH102" t="s">
        <v>510</v>
      </c>
      <c r="AI102">
        <v>530</v>
      </c>
      <c r="AJ102" t="s">
        <v>511</v>
      </c>
      <c r="AK102" s="2">
        <v>46224</v>
      </c>
      <c r="AL102" s="2">
        <v>46224</v>
      </c>
      <c r="AM102" s="3">
        <v>44000</v>
      </c>
      <c r="AN102" t="s">
        <v>16</v>
      </c>
      <c r="AO102" s="3">
        <v>44000</v>
      </c>
      <c r="AP102" t="s">
        <v>512</v>
      </c>
      <c r="AR102" t="s">
        <v>505</v>
      </c>
      <c r="AU102" t="s">
        <v>513</v>
      </c>
    </row>
    <row r="103" spans="1:47" x14ac:dyDescent="0.25">
      <c r="A103" s="1">
        <v>2734359</v>
      </c>
      <c r="B103" t="s">
        <v>179</v>
      </c>
      <c r="C103">
        <v>525</v>
      </c>
      <c r="D103" t="s">
        <v>1</v>
      </c>
      <c r="E103" s="2">
        <v>46224</v>
      </c>
      <c r="F103" s="2">
        <v>46224</v>
      </c>
      <c r="G103" s="3">
        <v>1</v>
      </c>
      <c r="H103" t="s">
        <v>20</v>
      </c>
      <c r="I103" s="3">
        <v>470</v>
      </c>
      <c r="J103" t="s">
        <v>180</v>
      </c>
      <c r="K103" t="s">
        <v>181</v>
      </c>
      <c r="L103" t="s">
        <v>37</v>
      </c>
      <c r="M103" t="s">
        <v>6</v>
      </c>
      <c r="N103" t="s">
        <v>7</v>
      </c>
      <c r="O103" t="s">
        <v>7</v>
      </c>
      <c r="Q103" t="b">
        <f t="shared" si="15"/>
        <v>1</v>
      </c>
      <c r="R103" t="b">
        <f t="shared" si="16"/>
        <v>1</v>
      </c>
      <c r="S103" t="b">
        <f t="shared" si="17"/>
        <v>1</v>
      </c>
      <c r="T103" t="b">
        <f t="shared" si="18"/>
        <v>1</v>
      </c>
      <c r="U103" t="b">
        <f t="shared" si="19"/>
        <v>1</v>
      </c>
      <c r="V103" t="b">
        <f t="shared" si="20"/>
        <v>1</v>
      </c>
      <c r="W103" t="b">
        <f t="shared" si="21"/>
        <v>1</v>
      </c>
      <c r="X103" t="b">
        <f t="shared" si="22"/>
        <v>1</v>
      </c>
      <c r="Y103" t="b">
        <f t="shared" si="23"/>
        <v>1</v>
      </c>
      <c r="Z103" t="b">
        <f t="shared" si="24"/>
        <v>1</v>
      </c>
      <c r="AA103" t="b">
        <f t="shared" si="25"/>
        <v>1</v>
      </c>
      <c r="AB103" t="b">
        <f t="shared" si="26"/>
        <v>1</v>
      </c>
      <c r="AC103" t="b">
        <f t="shared" si="27"/>
        <v>1</v>
      </c>
      <c r="AD103" t="b">
        <f t="shared" si="28"/>
        <v>1</v>
      </c>
      <c r="AE103" t="b">
        <f t="shared" si="29"/>
        <v>1</v>
      </c>
      <c r="AG103" s="1">
        <v>2734359</v>
      </c>
      <c r="AH103" t="s">
        <v>661</v>
      </c>
      <c r="AI103">
        <v>525</v>
      </c>
      <c r="AJ103" t="s">
        <v>503</v>
      </c>
      <c r="AK103" s="2">
        <v>46224</v>
      </c>
      <c r="AL103" s="2">
        <v>46224</v>
      </c>
      <c r="AM103" s="3">
        <v>1</v>
      </c>
      <c r="AN103" t="s">
        <v>20</v>
      </c>
      <c r="AO103" s="3">
        <v>470</v>
      </c>
      <c r="AP103" t="s">
        <v>662</v>
      </c>
      <c r="AQ103" t="s">
        <v>181</v>
      </c>
      <c r="AR103" t="s">
        <v>528</v>
      </c>
    </row>
    <row r="104" spans="1:47" x14ac:dyDescent="0.25">
      <c r="A104" s="1">
        <v>2734359</v>
      </c>
      <c r="B104" t="s">
        <v>179</v>
      </c>
      <c r="C104">
        <v>535</v>
      </c>
      <c r="D104" t="s">
        <v>1</v>
      </c>
      <c r="E104" s="2">
        <v>46224</v>
      </c>
      <c r="F104" s="2">
        <v>46224</v>
      </c>
      <c r="G104" s="3">
        <v>1</v>
      </c>
      <c r="H104" t="s">
        <v>20</v>
      </c>
      <c r="I104" s="3">
        <v>210</v>
      </c>
      <c r="J104" t="s">
        <v>182</v>
      </c>
      <c r="K104" t="s">
        <v>181</v>
      </c>
      <c r="L104" t="s">
        <v>37</v>
      </c>
      <c r="M104" t="s">
        <v>6</v>
      </c>
      <c r="N104" t="s">
        <v>7</v>
      </c>
      <c r="O104" t="s">
        <v>7</v>
      </c>
      <c r="Q104" t="b">
        <f t="shared" si="15"/>
        <v>1</v>
      </c>
      <c r="R104" t="b">
        <f t="shared" si="16"/>
        <v>1</v>
      </c>
      <c r="S104" t="b">
        <f t="shared" si="17"/>
        <v>1</v>
      </c>
      <c r="T104" t="b">
        <f t="shared" si="18"/>
        <v>1</v>
      </c>
      <c r="U104" t="b">
        <f t="shared" si="19"/>
        <v>1</v>
      </c>
      <c r="V104" t="b">
        <f t="shared" si="20"/>
        <v>1</v>
      </c>
      <c r="W104" t="b">
        <f t="shared" si="21"/>
        <v>1</v>
      </c>
      <c r="X104" t="b">
        <f t="shared" si="22"/>
        <v>1</v>
      </c>
      <c r="Y104" t="b">
        <f t="shared" si="23"/>
        <v>1</v>
      </c>
      <c r="Z104" t="b">
        <f t="shared" si="24"/>
        <v>1</v>
      </c>
      <c r="AA104" t="b">
        <f t="shared" si="25"/>
        <v>1</v>
      </c>
      <c r="AB104" t="b">
        <f t="shared" si="26"/>
        <v>1</v>
      </c>
      <c r="AC104" t="b">
        <f t="shared" si="27"/>
        <v>1</v>
      </c>
      <c r="AD104" t="b">
        <f t="shared" si="28"/>
        <v>1</v>
      </c>
      <c r="AE104" t="b">
        <f t="shared" si="29"/>
        <v>1</v>
      </c>
      <c r="AG104" s="1">
        <v>2734359</v>
      </c>
      <c r="AH104" t="s">
        <v>661</v>
      </c>
      <c r="AI104">
        <v>535</v>
      </c>
      <c r="AJ104" t="s">
        <v>503</v>
      </c>
      <c r="AK104" s="2">
        <v>46224</v>
      </c>
      <c r="AL104" s="2">
        <v>46224</v>
      </c>
      <c r="AM104" s="3">
        <v>1</v>
      </c>
      <c r="AN104" t="s">
        <v>20</v>
      </c>
      <c r="AO104" s="3">
        <v>210</v>
      </c>
      <c r="AP104" t="s">
        <v>663</v>
      </c>
      <c r="AQ104" t="s">
        <v>181</v>
      </c>
      <c r="AR104" t="s">
        <v>528</v>
      </c>
    </row>
    <row r="105" spans="1:47" x14ac:dyDescent="0.25">
      <c r="A105" s="1">
        <v>2734541</v>
      </c>
      <c r="B105" t="s">
        <v>183</v>
      </c>
      <c r="C105">
        <v>540</v>
      </c>
      <c r="D105" t="s">
        <v>1</v>
      </c>
      <c r="E105" s="2">
        <v>46224</v>
      </c>
      <c r="F105" s="2">
        <v>46224</v>
      </c>
      <c r="G105" s="3">
        <v>10</v>
      </c>
      <c r="H105" t="s">
        <v>2</v>
      </c>
      <c r="I105" s="3">
        <v>400</v>
      </c>
      <c r="J105" t="s">
        <v>184</v>
      </c>
      <c r="K105" t="s">
        <v>4</v>
      </c>
      <c r="L105" t="s">
        <v>37</v>
      </c>
      <c r="M105" t="s">
        <v>23</v>
      </c>
      <c r="N105" t="s">
        <v>7</v>
      </c>
      <c r="O105" t="s">
        <v>7</v>
      </c>
      <c r="Q105" t="b">
        <f t="shared" si="15"/>
        <v>1</v>
      </c>
      <c r="R105" t="b">
        <f t="shared" si="16"/>
        <v>1</v>
      </c>
      <c r="S105" t="b">
        <f t="shared" si="17"/>
        <v>1</v>
      </c>
      <c r="T105" t="b">
        <f t="shared" si="18"/>
        <v>1</v>
      </c>
      <c r="U105" t="b">
        <f t="shared" si="19"/>
        <v>1</v>
      </c>
      <c r="V105" t="b">
        <f t="shared" si="20"/>
        <v>1</v>
      </c>
      <c r="W105" t="b">
        <f t="shared" si="21"/>
        <v>1</v>
      </c>
      <c r="X105" t="b">
        <f t="shared" si="22"/>
        <v>1</v>
      </c>
      <c r="Y105" t="b">
        <f t="shared" si="23"/>
        <v>1</v>
      </c>
      <c r="Z105" t="b">
        <f t="shared" si="24"/>
        <v>1</v>
      </c>
      <c r="AA105" t="b">
        <f t="shared" si="25"/>
        <v>1</v>
      </c>
      <c r="AB105" t="b">
        <f t="shared" si="26"/>
        <v>1</v>
      </c>
      <c r="AC105" t="b">
        <f t="shared" si="27"/>
        <v>1</v>
      </c>
      <c r="AD105" t="b">
        <f t="shared" si="28"/>
        <v>1</v>
      </c>
      <c r="AE105" t="b">
        <f t="shared" si="29"/>
        <v>1</v>
      </c>
      <c r="AG105" s="1">
        <v>2734541</v>
      </c>
      <c r="AH105" t="s">
        <v>664</v>
      </c>
      <c r="AI105">
        <v>540</v>
      </c>
      <c r="AJ105" t="s">
        <v>503</v>
      </c>
      <c r="AK105" s="2">
        <v>46224</v>
      </c>
      <c r="AL105" s="2">
        <v>46224</v>
      </c>
      <c r="AM105" s="3">
        <v>10</v>
      </c>
      <c r="AN105" t="s">
        <v>2</v>
      </c>
      <c r="AO105" s="3">
        <v>400</v>
      </c>
      <c r="AP105" t="s">
        <v>665</v>
      </c>
      <c r="AR105" t="s">
        <v>528</v>
      </c>
      <c r="AS105" t="s">
        <v>23</v>
      </c>
    </row>
    <row r="106" spans="1:47" x14ac:dyDescent="0.25">
      <c r="A106" s="1">
        <v>2734558</v>
      </c>
      <c r="B106" t="s">
        <v>185</v>
      </c>
      <c r="C106">
        <v>540</v>
      </c>
      <c r="D106" t="s">
        <v>1</v>
      </c>
      <c r="E106" s="2">
        <v>46224</v>
      </c>
      <c r="F106" s="2">
        <v>46224</v>
      </c>
      <c r="G106" s="3">
        <v>4</v>
      </c>
      <c r="H106" t="s">
        <v>20</v>
      </c>
      <c r="I106" s="3">
        <v>1760</v>
      </c>
      <c r="J106" t="s">
        <v>186</v>
      </c>
      <c r="K106" t="s">
        <v>4</v>
      </c>
      <c r="L106" t="s">
        <v>40</v>
      </c>
      <c r="M106" t="s">
        <v>6</v>
      </c>
      <c r="N106" t="s">
        <v>7</v>
      </c>
      <c r="O106" t="s">
        <v>7</v>
      </c>
      <c r="Q106" t="b">
        <f t="shared" si="15"/>
        <v>1</v>
      </c>
      <c r="R106" t="b">
        <f t="shared" si="16"/>
        <v>1</v>
      </c>
      <c r="S106" t="b">
        <f t="shared" si="17"/>
        <v>1</v>
      </c>
      <c r="T106" t="b">
        <f t="shared" si="18"/>
        <v>1</v>
      </c>
      <c r="U106" t="b">
        <f t="shared" si="19"/>
        <v>1</v>
      </c>
      <c r="V106" t="b">
        <f t="shared" si="20"/>
        <v>1</v>
      </c>
      <c r="W106" t="b">
        <f t="shared" si="21"/>
        <v>1</v>
      </c>
      <c r="X106" t="b">
        <f t="shared" si="22"/>
        <v>1</v>
      </c>
      <c r="Y106" t="b">
        <f t="shared" si="23"/>
        <v>1</v>
      </c>
      <c r="Z106" t="b">
        <f t="shared" si="24"/>
        <v>1</v>
      </c>
      <c r="AA106" t="b">
        <f t="shared" si="25"/>
        <v>1</v>
      </c>
      <c r="AB106" t="b">
        <f t="shared" si="26"/>
        <v>1</v>
      </c>
      <c r="AC106" t="b">
        <f t="shared" si="27"/>
        <v>1</v>
      </c>
      <c r="AD106" t="b">
        <f t="shared" si="28"/>
        <v>1</v>
      </c>
      <c r="AE106" t="b">
        <f t="shared" si="29"/>
        <v>1</v>
      </c>
      <c r="AG106" s="1">
        <v>2734558</v>
      </c>
      <c r="AH106" t="s">
        <v>666</v>
      </c>
      <c r="AI106">
        <v>540</v>
      </c>
      <c r="AJ106" t="s">
        <v>503</v>
      </c>
      <c r="AK106" s="2">
        <v>46224</v>
      </c>
      <c r="AL106" s="2">
        <v>46224</v>
      </c>
      <c r="AM106" s="3">
        <v>4</v>
      </c>
      <c r="AN106" t="s">
        <v>20</v>
      </c>
      <c r="AO106" s="3">
        <v>1760</v>
      </c>
      <c r="AP106" t="s">
        <v>667</v>
      </c>
      <c r="AR106" t="s">
        <v>531</v>
      </c>
    </row>
    <row r="107" spans="1:47" x14ac:dyDescent="0.25">
      <c r="A107" s="1">
        <v>2737513</v>
      </c>
      <c r="B107" t="s">
        <v>187</v>
      </c>
      <c r="C107">
        <v>525</v>
      </c>
      <c r="D107" t="s">
        <v>1</v>
      </c>
      <c r="E107" s="2">
        <v>46224</v>
      </c>
      <c r="F107" s="2">
        <v>46224</v>
      </c>
      <c r="G107" s="3">
        <v>6</v>
      </c>
      <c r="H107" t="s">
        <v>20</v>
      </c>
      <c r="I107" s="3">
        <v>2850</v>
      </c>
      <c r="J107" t="s">
        <v>39</v>
      </c>
      <c r="K107" t="s">
        <v>130</v>
      </c>
      <c r="L107" t="s">
        <v>37</v>
      </c>
      <c r="M107" t="s">
        <v>6</v>
      </c>
      <c r="N107" t="s">
        <v>7</v>
      </c>
      <c r="O107" t="s">
        <v>7</v>
      </c>
      <c r="Q107" t="b">
        <f t="shared" si="15"/>
        <v>1</v>
      </c>
      <c r="R107" t="b">
        <f t="shared" si="16"/>
        <v>1</v>
      </c>
      <c r="S107" t="b">
        <f t="shared" si="17"/>
        <v>1</v>
      </c>
      <c r="T107" t="b">
        <f t="shared" si="18"/>
        <v>1</v>
      </c>
      <c r="U107" t="b">
        <f t="shared" si="19"/>
        <v>1</v>
      </c>
      <c r="V107" t="b">
        <f t="shared" si="20"/>
        <v>1</v>
      </c>
      <c r="W107" t="b">
        <f t="shared" si="21"/>
        <v>1</v>
      </c>
      <c r="X107" t="b">
        <f t="shared" si="22"/>
        <v>1</v>
      </c>
      <c r="Y107" t="b">
        <f t="shared" si="23"/>
        <v>1</v>
      </c>
      <c r="Z107" t="b">
        <f t="shared" si="24"/>
        <v>1</v>
      </c>
      <c r="AA107" t="b">
        <f t="shared" si="25"/>
        <v>1</v>
      </c>
      <c r="AB107" t="b">
        <f t="shared" si="26"/>
        <v>1</v>
      </c>
      <c r="AC107" t="b">
        <f t="shared" si="27"/>
        <v>1</v>
      </c>
      <c r="AD107" t="b">
        <f t="shared" si="28"/>
        <v>1</v>
      </c>
      <c r="AE107" t="b">
        <f t="shared" si="29"/>
        <v>1</v>
      </c>
      <c r="AG107" s="1">
        <v>2737513</v>
      </c>
      <c r="AH107" t="s">
        <v>668</v>
      </c>
      <c r="AI107">
        <v>525</v>
      </c>
      <c r="AJ107" t="s">
        <v>503</v>
      </c>
      <c r="AK107" s="2">
        <v>46224</v>
      </c>
      <c r="AL107" s="2">
        <v>46224</v>
      </c>
      <c r="AM107" s="3">
        <v>6</v>
      </c>
      <c r="AN107" t="s">
        <v>20</v>
      </c>
      <c r="AO107" s="3">
        <v>2850</v>
      </c>
      <c r="AP107" t="s">
        <v>530</v>
      </c>
      <c r="AQ107" t="s">
        <v>130</v>
      </c>
      <c r="AR107" t="s">
        <v>528</v>
      </c>
    </row>
    <row r="108" spans="1:47" x14ac:dyDescent="0.25">
      <c r="A108" s="1">
        <v>2737529</v>
      </c>
      <c r="B108" t="s">
        <v>188</v>
      </c>
      <c r="C108">
        <v>540</v>
      </c>
      <c r="D108" t="s">
        <v>1</v>
      </c>
      <c r="E108" s="2">
        <v>46224</v>
      </c>
      <c r="F108" s="2">
        <v>46224</v>
      </c>
      <c r="G108" s="3">
        <v>1</v>
      </c>
      <c r="H108" t="s">
        <v>20</v>
      </c>
      <c r="I108" s="3">
        <v>470</v>
      </c>
      <c r="J108" t="s">
        <v>189</v>
      </c>
      <c r="K108" t="s">
        <v>4</v>
      </c>
      <c r="L108" t="s">
        <v>30</v>
      </c>
      <c r="M108" t="s">
        <v>6</v>
      </c>
      <c r="N108" t="s">
        <v>7</v>
      </c>
      <c r="O108" t="s">
        <v>7</v>
      </c>
      <c r="Q108" t="b">
        <f t="shared" si="15"/>
        <v>1</v>
      </c>
      <c r="R108" t="b">
        <f t="shared" si="16"/>
        <v>1</v>
      </c>
      <c r="S108" t="b">
        <f t="shared" si="17"/>
        <v>1</v>
      </c>
      <c r="T108" t="b">
        <f t="shared" si="18"/>
        <v>1</v>
      </c>
      <c r="U108" t="b">
        <f t="shared" si="19"/>
        <v>1</v>
      </c>
      <c r="V108" t="b">
        <f t="shared" si="20"/>
        <v>1</v>
      </c>
      <c r="W108" t="b">
        <f t="shared" si="21"/>
        <v>1</v>
      </c>
      <c r="X108" t="b">
        <f t="shared" si="22"/>
        <v>1</v>
      </c>
      <c r="Y108" t="b">
        <f t="shared" si="23"/>
        <v>1</v>
      </c>
      <c r="Z108" t="b">
        <f t="shared" si="24"/>
        <v>1</v>
      </c>
      <c r="AA108" t="b">
        <f t="shared" si="25"/>
        <v>1</v>
      </c>
      <c r="AB108" t="b">
        <f t="shared" si="26"/>
        <v>1</v>
      </c>
      <c r="AC108" t="b">
        <f t="shared" si="27"/>
        <v>1</v>
      </c>
      <c r="AD108" t="b">
        <f t="shared" si="28"/>
        <v>1</v>
      </c>
      <c r="AE108" t="b">
        <f t="shared" si="29"/>
        <v>1</v>
      </c>
      <c r="AG108" s="1">
        <v>2737529</v>
      </c>
      <c r="AH108" t="s">
        <v>669</v>
      </c>
      <c r="AI108">
        <v>540</v>
      </c>
      <c r="AJ108" t="s">
        <v>503</v>
      </c>
      <c r="AK108" s="2">
        <v>46224</v>
      </c>
      <c r="AL108" s="2">
        <v>46224</v>
      </c>
      <c r="AM108" s="3">
        <v>1</v>
      </c>
      <c r="AN108" t="s">
        <v>20</v>
      </c>
      <c r="AO108" s="3">
        <v>470</v>
      </c>
      <c r="AP108" t="s">
        <v>670</v>
      </c>
      <c r="AR108" t="s">
        <v>521</v>
      </c>
    </row>
    <row r="109" spans="1:47" x14ac:dyDescent="0.25">
      <c r="A109" s="1">
        <v>2738083</v>
      </c>
      <c r="B109" t="s">
        <v>190</v>
      </c>
      <c r="C109">
        <v>540</v>
      </c>
      <c r="D109" t="s">
        <v>1</v>
      </c>
      <c r="E109" s="2">
        <v>46224</v>
      </c>
      <c r="F109" s="2">
        <v>46224</v>
      </c>
      <c r="G109" s="3">
        <v>13</v>
      </c>
      <c r="H109" t="s">
        <v>11</v>
      </c>
      <c r="I109" s="3">
        <v>40300</v>
      </c>
      <c r="J109" t="s">
        <v>80</v>
      </c>
      <c r="K109" t="s">
        <v>4</v>
      </c>
      <c r="L109" t="s">
        <v>108</v>
      </c>
      <c r="M109" t="s">
        <v>6</v>
      </c>
      <c r="N109" t="s">
        <v>7</v>
      </c>
      <c r="O109" t="s">
        <v>7</v>
      </c>
      <c r="Q109" t="b">
        <f t="shared" si="15"/>
        <v>1</v>
      </c>
      <c r="R109" t="b">
        <f t="shared" si="16"/>
        <v>1</v>
      </c>
      <c r="S109" t="b">
        <f t="shared" si="17"/>
        <v>1</v>
      </c>
      <c r="T109" t="b">
        <f t="shared" si="18"/>
        <v>1</v>
      </c>
      <c r="U109" t="b">
        <f t="shared" si="19"/>
        <v>1</v>
      </c>
      <c r="V109" t="b">
        <f t="shared" si="20"/>
        <v>1</v>
      </c>
      <c r="W109" t="b">
        <f t="shared" si="21"/>
        <v>1</v>
      </c>
      <c r="X109" t="b">
        <f t="shared" si="22"/>
        <v>1</v>
      </c>
      <c r="Y109" t="b">
        <f t="shared" si="23"/>
        <v>1</v>
      </c>
      <c r="Z109" t="b">
        <f t="shared" si="24"/>
        <v>1</v>
      </c>
      <c r="AA109" t="b">
        <f t="shared" si="25"/>
        <v>1</v>
      </c>
      <c r="AB109" t="b">
        <f t="shared" si="26"/>
        <v>1</v>
      </c>
      <c r="AC109" t="b">
        <f t="shared" si="27"/>
        <v>1</v>
      </c>
      <c r="AD109" t="b">
        <f t="shared" si="28"/>
        <v>1</v>
      </c>
      <c r="AE109" t="b">
        <f t="shared" si="29"/>
        <v>1</v>
      </c>
      <c r="AG109" s="1">
        <v>2738083</v>
      </c>
      <c r="AH109" t="s">
        <v>671</v>
      </c>
      <c r="AI109">
        <v>540</v>
      </c>
      <c r="AJ109" t="s">
        <v>503</v>
      </c>
      <c r="AK109" s="2">
        <v>46224</v>
      </c>
      <c r="AL109" s="2">
        <v>46224</v>
      </c>
      <c r="AM109" s="3">
        <v>13</v>
      </c>
      <c r="AN109" t="s">
        <v>11</v>
      </c>
      <c r="AO109" s="3">
        <v>40300</v>
      </c>
      <c r="AP109" t="s">
        <v>568</v>
      </c>
      <c r="AR109" t="s">
        <v>595</v>
      </c>
    </row>
    <row r="110" spans="1:47" x14ac:dyDescent="0.25">
      <c r="A110" s="1">
        <v>2739656</v>
      </c>
      <c r="B110" t="s">
        <v>191</v>
      </c>
      <c r="C110">
        <v>540</v>
      </c>
      <c r="D110" t="s">
        <v>1</v>
      </c>
      <c r="E110" s="2">
        <v>46237</v>
      </c>
      <c r="F110" s="2">
        <v>46224</v>
      </c>
      <c r="G110" s="3">
        <v>13</v>
      </c>
      <c r="H110" t="s">
        <v>2</v>
      </c>
      <c r="I110" s="3">
        <v>520</v>
      </c>
      <c r="J110" t="s">
        <v>192</v>
      </c>
      <c r="K110" t="s">
        <v>4</v>
      </c>
      <c r="L110" t="s">
        <v>108</v>
      </c>
      <c r="M110" t="s">
        <v>6</v>
      </c>
      <c r="N110" t="s">
        <v>7</v>
      </c>
      <c r="O110" t="s">
        <v>7</v>
      </c>
      <c r="Q110" t="b">
        <f t="shared" si="15"/>
        <v>1</v>
      </c>
      <c r="R110" t="b">
        <f t="shared" si="16"/>
        <v>1</v>
      </c>
      <c r="S110" t="b">
        <f t="shared" si="17"/>
        <v>1</v>
      </c>
      <c r="T110" t="b">
        <f t="shared" si="18"/>
        <v>1</v>
      </c>
      <c r="U110" t="b">
        <f t="shared" si="19"/>
        <v>1</v>
      </c>
      <c r="V110" t="b">
        <f t="shared" si="20"/>
        <v>1</v>
      </c>
      <c r="W110" t="b">
        <f t="shared" si="21"/>
        <v>1</v>
      </c>
      <c r="X110" t="b">
        <f t="shared" si="22"/>
        <v>1</v>
      </c>
      <c r="Y110" t="b">
        <f t="shared" si="23"/>
        <v>1</v>
      </c>
      <c r="Z110" t="b">
        <f t="shared" si="24"/>
        <v>1</v>
      </c>
      <c r="AA110" t="b">
        <f t="shared" si="25"/>
        <v>1</v>
      </c>
      <c r="AB110" t="b">
        <f t="shared" si="26"/>
        <v>1</v>
      </c>
      <c r="AC110" t="b">
        <f t="shared" si="27"/>
        <v>1</v>
      </c>
      <c r="AD110" t="b">
        <f t="shared" si="28"/>
        <v>1</v>
      </c>
      <c r="AE110" t="b">
        <f t="shared" si="29"/>
        <v>1</v>
      </c>
      <c r="AG110" s="1">
        <v>2739656</v>
      </c>
      <c r="AH110" t="s">
        <v>672</v>
      </c>
      <c r="AI110">
        <v>540</v>
      </c>
      <c r="AJ110" t="s">
        <v>503</v>
      </c>
      <c r="AK110" s="2">
        <v>46237</v>
      </c>
      <c r="AL110" s="2">
        <v>46224</v>
      </c>
      <c r="AM110" s="3">
        <v>13</v>
      </c>
      <c r="AN110" t="s">
        <v>2</v>
      </c>
      <c r="AO110" s="3">
        <v>520</v>
      </c>
      <c r="AP110" t="s">
        <v>673</v>
      </c>
      <c r="AR110" t="s">
        <v>595</v>
      </c>
    </row>
    <row r="111" spans="1:47" x14ac:dyDescent="0.25">
      <c r="A111" s="1">
        <v>2739734</v>
      </c>
      <c r="B111" t="s">
        <v>75</v>
      </c>
      <c r="C111">
        <v>550</v>
      </c>
      <c r="D111" t="s">
        <v>1</v>
      </c>
      <c r="E111" s="2">
        <v>46224</v>
      </c>
      <c r="F111" s="2">
        <v>46224</v>
      </c>
      <c r="G111" s="3">
        <v>1</v>
      </c>
      <c r="H111" t="s">
        <v>11</v>
      </c>
      <c r="I111" s="3">
        <v>2700</v>
      </c>
      <c r="J111" t="s">
        <v>193</v>
      </c>
      <c r="K111" t="s">
        <v>4</v>
      </c>
      <c r="L111" t="s">
        <v>37</v>
      </c>
      <c r="M111" t="s">
        <v>23</v>
      </c>
      <c r="N111" t="s">
        <v>7</v>
      </c>
      <c r="O111" t="s">
        <v>7</v>
      </c>
      <c r="Q111" t="b">
        <f t="shared" si="15"/>
        <v>1</v>
      </c>
      <c r="R111" t="b">
        <f t="shared" si="16"/>
        <v>1</v>
      </c>
      <c r="S111" t="b">
        <f t="shared" si="17"/>
        <v>1</v>
      </c>
      <c r="T111" t="b">
        <f t="shared" si="18"/>
        <v>1</v>
      </c>
      <c r="U111" t="b">
        <f t="shared" si="19"/>
        <v>1</v>
      </c>
      <c r="V111" t="b">
        <f t="shared" si="20"/>
        <v>1</v>
      </c>
      <c r="W111" t="b">
        <f t="shared" si="21"/>
        <v>1</v>
      </c>
      <c r="X111" t="b">
        <f t="shared" si="22"/>
        <v>1</v>
      </c>
      <c r="Y111" t="b">
        <f t="shared" si="23"/>
        <v>1</v>
      </c>
      <c r="Z111" t="b">
        <f t="shared" si="24"/>
        <v>1</v>
      </c>
      <c r="AA111" t="b">
        <f t="shared" si="25"/>
        <v>1</v>
      </c>
      <c r="AB111" t="b">
        <f t="shared" si="26"/>
        <v>1</v>
      </c>
      <c r="AC111" t="b">
        <f t="shared" si="27"/>
        <v>1</v>
      </c>
      <c r="AD111" t="b">
        <f t="shared" si="28"/>
        <v>1</v>
      </c>
      <c r="AE111" t="b">
        <f t="shared" si="29"/>
        <v>1</v>
      </c>
      <c r="AG111" s="1">
        <v>2739734</v>
      </c>
      <c r="AH111" t="s">
        <v>563</v>
      </c>
      <c r="AI111">
        <v>550</v>
      </c>
      <c r="AJ111" t="s">
        <v>503</v>
      </c>
      <c r="AK111" s="2">
        <v>46224</v>
      </c>
      <c r="AL111" s="2">
        <v>46224</v>
      </c>
      <c r="AM111" s="3">
        <v>1</v>
      </c>
      <c r="AN111" t="s">
        <v>11</v>
      </c>
      <c r="AO111" s="3">
        <v>2700</v>
      </c>
      <c r="AP111" t="s">
        <v>674</v>
      </c>
      <c r="AR111" t="s">
        <v>528</v>
      </c>
      <c r="AS111" t="s">
        <v>23</v>
      </c>
    </row>
    <row r="112" spans="1:47" x14ac:dyDescent="0.25">
      <c r="A112" s="1">
        <v>2739734</v>
      </c>
      <c r="B112" t="s">
        <v>75</v>
      </c>
      <c r="C112">
        <v>550</v>
      </c>
      <c r="D112" t="s">
        <v>1</v>
      </c>
      <c r="E112" s="2">
        <v>46224</v>
      </c>
      <c r="F112" s="2">
        <v>46224</v>
      </c>
      <c r="G112" s="3">
        <v>1</v>
      </c>
      <c r="H112" t="s">
        <v>11</v>
      </c>
      <c r="I112" s="3">
        <v>2600</v>
      </c>
      <c r="J112" t="s">
        <v>194</v>
      </c>
      <c r="K112" t="s">
        <v>4</v>
      </c>
      <c r="L112" t="s">
        <v>37</v>
      </c>
      <c r="M112" t="s">
        <v>23</v>
      </c>
      <c r="N112" t="s">
        <v>7</v>
      </c>
      <c r="O112" t="s">
        <v>7</v>
      </c>
      <c r="Q112" t="b">
        <f t="shared" si="15"/>
        <v>1</v>
      </c>
      <c r="R112" t="b">
        <f t="shared" si="16"/>
        <v>1</v>
      </c>
      <c r="S112" t="b">
        <f t="shared" si="17"/>
        <v>1</v>
      </c>
      <c r="T112" t="b">
        <f t="shared" si="18"/>
        <v>1</v>
      </c>
      <c r="U112" t="b">
        <f t="shared" si="19"/>
        <v>1</v>
      </c>
      <c r="V112" t="b">
        <f t="shared" si="20"/>
        <v>1</v>
      </c>
      <c r="W112" t="b">
        <f t="shared" si="21"/>
        <v>1</v>
      </c>
      <c r="X112" t="b">
        <f t="shared" si="22"/>
        <v>1</v>
      </c>
      <c r="Y112" t="b">
        <f t="shared" si="23"/>
        <v>1</v>
      </c>
      <c r="Z112" t="b">
        <f t="shared" si="24"/>
        <v>1</v>
      </c>
      <c r="AA112" t="b">
        <f t="shared" si="25"/>
        <v>1</v>
      </c>
      <c r="AB112" t="b">
        <f t="shared" si="26"/>
        <v>1</v>
      </c>
      <c r="AC112" t="b">
        <f t="shared" si="27"/>
        <v>1</v>
      </c>
      <c r="AD112" t="b">
        <f t="shared" si="28"/>
        <v>1</v>
      </c>
      <c r="AE112" t="b">
        <f t="shared" si="29"/>
        <v>1</v>
      </c>
      <c r="AG112" s="1">
        <v>2739734</v>
      </c>
      <c r="AH112" t="s">
        <v>563</v>
      </c>
      <c r="AI112">
        <v>550</v>
      </c>
      <c r="AJ112" t="s">
        <v>503</v>
      </c>
      <c r="AK112" s="2">
        <v>46224</v>
      </c>
      <c r="AL112" s="2">
        <v>46224</v>
      </c>
      <c r="AM112" s="3">
        <v>1</v>
      </c>
      <c r="AN112" t="s">
        <v>11</v>
      </c>
      <c r="AO112" s="3">
        <v>2600</v>
      </c>
      <c r="AP112" t="s">
        <v>675</v>
      </c>
      <c r="AR112" t="s">
        <v>528</v>
      </c>
      <c r="AS112" t="s">
        <v>23</v>
      </c>
    </row>
    <row r="113" spans="1:47" x14ac:dyDescent="0.25">
      <c r="A113" s="1">
        <v>2739735</v>
      </c>
      <c r="B113" t="s">
        <v>195</v>
      </c>
      <c r="C113">
        <v>540</v>
      </c>
      <c r="D113" t="s">
        <v>1</v>
      </c>
      <c r="E113" s="2">
        <v>46224</v>
      </c>
      <c r="F113" s="2">
        <v>46224</v>
      </c>
      <c r="G113" s="3">
        <v>4</v>
      </c>
      <c r="H113" t="s">
        <v>20</v>
      </c>
      <c r="I113" s="3">
        <v>1900</v>
      </c>
      <c r="J113" t="s">
        <v>196</v>
      </c>
      <c r="K113" t="s">
        <v>4</v>
      </c>
      <c r="L113" t="s">
        <v>30</v>
      </c>
      <c r="M113" t="s">
        <v>6</v>
      </c>
      <c r="N113" t="s">
        <v>197</v>
      </c>
      <c r="O113" t="s">
        <v>7</v>
      </c>
      <c r="Q113" t="b">
        <f t="shared" si="15"/>
        <v>1</v>
      </c>
      <c r="R113" t="b">
        <f t="shared" si="16"/>
        <v>1</v>
      </c>
      <c r="S113" t="b">
        <f t="shared" si="17"/>
        <v>1</v>
      </c>
      <c r="T113" t="b">
        <f t="shared" si="18"/>
        <v>1</v>
      </c>
      <c r="U113" t="b">
        <f t="shared" si="19"/>
        <v>1</v>
      </c>
      <c r="V113" t="b">
        <f t="shared" si="20"/>
        <v>1</v>
      </c>
      <c r="W113" t="b">
        <f t="shared" si="21"/>
        <v>1</v>
      </c>
      <c r="X113" t="b">
        <f t="shared" si="22"/>
        <v>1</v>
      </c>
      <c r="Y113" t="b">
        <f t="shared" si="23"/>
        <v>1</v>
      </c>
      <c r="Z113" t="b">
        <f t="shared" si="24"/>
        <v>1</v>
      </c>
      <c r="AA113" t="b">
        <f t="shared" si="25"/>
        <v>1</v>
      </c>
      <c r="AB113" t="b">
        <f t="shared" si="26"/>
        <v>1</v>
      </c>
      <c r="AC113" t="b">
        <f t="shared" si="27"/>
        <v>1</v>
      </c>
      <c r="AD113" t="b">
        <f t="shared" si="28"/>
        <v>1</v>
      </c>
      <c r="AE113" t="b">
        <f t="shared" si="29"/>
        <v>1</v>
      </c>
      <c r="AG113" s="1">
        <v>2739735</v>
      </c>
      <c r="AH113" t="s">
        <v>676</v>
      </c>
      <c r="AI113">
        <v>540</v>
      </c>
      <c r="AJ113" t="s">
        <v>503</v>
      </c>
      <c r="AK113" s="2">
        <v>46224</v>
      </c>
      <c r="AL113" s="2">
        <v>46224</v>
      </c>
      <c r="AM113" s="3">
        <v>4</v>
      </c>
      <c r="AN113" t="s">
        <v>20</v>
      </c>
      <c r="AO113" s="3">
        <v>1900</v>
      </c>
      <c r="AP113" t="s">
        <v>677</v>
      </c>
      <c r="AR113" t="s">
        <v>521</v>
      </c>
      <c r="AT113" t="s">
        <v>678</v>
      </c>
    </row>
    <row r="114" spans="1:47" x14ac:dyDescent="0.25">
      <c r="A114" s="1">
        <v>2740570</v>
      </c>
      <c r="B114" t="s">
        <v>99</v>
      </c>
      <c r="C114">
        <v>540</v>
      </c>
      <c r="D114" t="s">
        <v>1</v>
      </c>
      <c r="E114" s="2">
        <v>46218</v>
      </c>
      <c r="F114" s="2">
        <v>46224</v>
      </c>
      <c r="G114" s="3">
        <v>2</v>
      </c>
      <c r="H114" t="s">
        <v>20</v>
      </c>
      <c r="I114" s="3">
        <v>900</v>
      </c>
      <c r="J114" t="s">
        <v>198</v>
      </c>
      <c r="K114" t="s">
        <v>4</v>
      </c>
      <c r="L114" t="s">
        <v>37</v>
      </c>
      <c r="M114" t="s">
        <v>23</v>
      </c>
      <c r="N114" t="s">
        <v>7</v>
      </c>
      <c r="O114" t="s">
        <v>7</v>
      </c>
      <c r="Q114" t="b">
        <f t="shared" si="15"/>
        <v>1</v>
      </c>
      <c r="R114" t="b">
        <f t="shared" si="16"/>
        <v>1</v>
      </c>
      <c r="S114" t="b">
        <f t="shared" si="17"/>
        <v>1</v>
      </c>
      <c r="T114" t="b">
        <f t="shared" si="18"/>
        <v>1</v>
      </c>
      <c r="U114" t="b">
        <f t="shared" si="19"/>
        <v>1</v>
      </c>
      <c r="V114" t="b">
        <f t="shared" si="20"/>
        <v>1</v>
      </c>
      <c r="W114" t="b">
        <f t="shared" si="21"/>
        <v>1</v>
      </c>
      <c r="X114" t="b">
        <f t="shared" si="22"/>
        <v>1</v>
      </c>
      <c r="Y114" t="b">
        <f t="shared" si="23"/>
        <v>1</v>
      </c>
      <c r="Z114" t="b">
        <f t="shared" si="24"/>
        <v>1</v>
      </c>
      <c r="AA114" t="b">
        <f t="shared" si="25"/>
        <v>1</v>
      </c>
      <c r="AB114" t="b">
        <f t="shared" si="26"/>
        <v>1</v>
      </c>
      <c r="AC114" t="b">
        <f t="shared" si="27"/>
        <v>1</v>
      </c>
      <c r="AD114" t="b">
        <f t="shared" si="28"/>
        <v>1</v>
      </c>
      <c r="AE114" t="b">
        <f t="shared" si="29"/>
        <v>1</v>
      </c>
      <c r="AG114" s="1">
        <v>2740570</v>
      </c>
      <c r="AH114" t="s">
        <v>586</v>
      </c>
      <c r="AI114">
        <v>540</v>
      </c>
      <c r="AJ114" t="s">
        <v>503</v>
      </c>
      <c r="AK114" s="2">
        <v>46218</v>
      </c>
      <c r="AL114" s="2">
        <v>46224</v>
      </c>
      <c r="AM114" s="3">
        <v>2</v>
      </c>
      <c r="AN114" t="s">
        <v>20</v>
      </c>
      <c r="AO114" s="3">
        <v>900</v>
      </c>
      <c r="AP114" t="s">
        <v>679</v>
      </c>
      <c r="AR114" t="s">
        <v>528</v>
      </c>
      <c r="AS114" t="s">
        <v>23</v>
      </c>
    </row>
    <row r="115" spans="1:47" x14ac:dyDescent="0.25">
      <c r="A115" s="1">
        <v>2740620</v>
      </c>
      <c r="B115" t="s">
        <v>199</v>
      </c>
      <c r="C115">
        <v>525</v>
      </c>
      <c r="D115" t="s">
        <v>1</v>
      </c>
      <c r="E115" s="2">
        <v>46219</v>
      </c>
      <c r="F115" s="2">
        <v>46224</v>
      </c>
      <c r="G115" s="3">
        <v>5</v>
      </c>
      <c r="H115" t="s">
        <v>20</v>
      </c>
      <c r="I115" s="3">
        <v>2125</v>
      </c>
      <c r="J115" t="s">
        <v>200</v>
      </c>
      <c r="K115" t="s">
        <v>130</v>
      </c>
      <c r="L115" t="s">
        <v>30</v>
      </c>
      <c r="M115" t="s">
        <v>6</v>
      </c>
      <c r="N115" t="s">
        <v>7</v>
      </c>
      <c r="O115" t="s">
        <v>7</v>
      </c>
      <c r="Q115" t="b">
        <f t="shared" si="15"/>
        <v>1</v>
      </c>
      <c r="R115" t="b">
        <f t="shared" si="16"/>
        <v>1</v>
      </c>
      <c r="S115" t="b">
        <f t="shared" si="17"/>
        <v>1</v>
      </c>
      <c r="T115" t="b">
        <f t="shared" si="18"/>
        <v>1</v>
      </c>
      <c r="U115" t="b">
        <f t="shared" si="19"/>
        <v>1</v>
      </c>
      <c r="V115" t="b">
        <f t="shared" si="20"/>
        <v>1</v>
      </c>
      <c r="W115" t="b">
        <f t="shared" si="21"/>
        <v>1</v>
      </c>
      <c r="X115" t="b">
        <f t="shared" si="22"/>
        <v>1</v>
      </c>
      <c r="Y115" t="b">
        <f t="shared" si="23"/>
        <v>1</v>
      </c>
      <c r="Z115" t="b">
        <f t="shared" si="24"/>
        <v>1</v>
      </c>
      <c r="AA115" t="b">
        <f t="shared" si="25"/>
        <v>1</v>
      </c>
      <c r="AB115" t="b">
        <f t="shared" si="26"/>
        <v>1</v>
      </c>
      <c r="AC115" t="b">
        <f t="shared" si="27"/>
        <v>1</v>
      </c>
      <c r="AD115" t="b">
        <f t="shared" si="28"/>
        <v>1</v>
      </c>
      <c r="AE115" t="b">
        <f t="shared" si="29"/>
        <v>1</v>
      </c>
      <c r="AG115" s="1">
        <v>2740620</v>
      </c>
      <c r="AH115" t="s">
        <v>680</v>
      </c>
      <c r="AI115">
        <v>525</v>
      </c>
      <c r="AJ115" t="s">
        <v>503</v>
      </c>
      <c r="AK115" s="2">
        <v>46219</v>
      </c>
      <c r="AL115" s="2">
        <v>46224</v>
      </c>
      <c r="AM115" s="3">
        <v>5</v>
      </c>
      <c r="AN115" t="s">
        <v>20</v>
      </c>
      <c r="AO115" s="3">
        <v>2125</v>
      </c>
      <c r="AP115" t="s">
        <v>681</v>
      </c>
      <c r="AQ115" t="s">
        <v>130</v>
      </c>
      <c r="AR115" t="s">
        <v>521</v>
      </c>
    </row>
    <row r="116" spans="1:47" x14ac:dyDescent="0.25">
      <c r="A116" s="1">
        <v>2742576</v>
      </c>
      <c r="B116" t="s">
        <v>201</v>
      </c>
      <c r="C116">
        <v>540</v>
      </c>
      <c r="D116" t="s">
        <v>1</v>
      </c>
      <c r="E116" s="2">
        <v>46224</v>
      </c>
      <c r="F116" s="2">
        <v>46224</v>
      </c>
      <c r="G116" s="3">
        <v>1</v>
      </c>
      <c r="H116" t="s">
        <v>20</v>
      </c>
      <c r="I116" s="3">
        <v>475</v>
      </c>
      <c r="J116" t="s">
        <v>39</v>
      </c>
      <c r="K116" t="s">
        <v>4</v>
      </c>
      <c r="L116" t="s">
        <v>30</v>
      </c>
      <c r="M116" t="s">
        <v>6</v>
      </c>
      <c r="N116" t="s">
        <v>202</v>
      </c>
      <c r="O116" t="s">
        <v>7</v>
      </c>
      <c r="Q116" t="b">
        <f t="shared" si="15"/>
        <v>1</v>
      </c>
      <c r="R116" t="b">
        <f t="shared" si="16"/>
        <v>1</v>
      </c>
      <c r="S116" t="b">
        <f t="shared" si="17"/>
        <v>1</v>
      </c>
      <c r="T116" t="b">
        <f t="shared" si="18"/>
        <v>1</v>
      </c>
      <c r="U116" t="b">
        <f t="shared" si="19"/>
        <v>1</v>
      </c>
      <c r="V116" t="b">
        <f t="shared" si="20"/>
        <v>1</v>
      </c>
      <c r="W116" t="b">
        <f t="shared" si="21"/>
        <v>1</v>
      </c>
      <c r="X116" t="b">
        <f t="shared" si="22"/>
        <v>1</v>
      </c>
      <c r="Y116" t="b">
        <f t="shared" si="23"/>
        <v>1</v>
      </c>
      <c r="Z116" t="b">
        <f t="shared" si="24"/>
        <v>1</v>
      </c>
      <c r="AA116" t="b">
        <f t="shared" si="25"/>
        <v>1</v>
      </c>
      <c r="AB116" t="b">
        <f t="shared" si="26"/>
        <v>1</v>
      </c>
      <c r="AC116" t="b">
        <f t="shared" si="27"/>
        <v>1</v>
      </c>
      <c r="AD116" t="b">
        <f t="shared" si="28"/>
        <v>1</v>
      </c>
      <c r="AE116" t="b">
        <f t="shared" si="29"/>
        <v>1</v>
      </c>
      <c r="AG116" s="1">
        <v>2742576</v>
      </c>
      <c r="AH116" t="s">
        <v>682</v>
      </c>
      <c r="AI116">
        <v>540</v>
      </c>
      <c r="AJ116" t="s">
        <v>503</v>
      </c>
      <c r="AK116" s="2">
        <v>46224</v>
      </c>
      <c r="AL116" s="2">
        <v>46224</v>
      </c>
      <c r="AM116" s="3">
        <v>1</v>
      </c>
      <c r="AN116" t="s">
        <v>20</v>
      </c>
      <c r="AO116" s="3">
        <v>475</v>
      </c>
      <c r="AP116" t="s">
        <v>530</v>
      </c>
      <c r="AR116" t="s">
        <v>521</v>
      </c>
      <c r="AT116" t="s">
        <v>683</v>
      </c>
    </row>
    <row r="117" spans="1:47" x14ac:dyDescent="0.25">
      <c r="A117" s="1">
        <v>2742630</v>
      </c>
      <c r="B117" t="s">
        <v>147</v>
      </c>
      <c r="C117">
        <v>540</v>
      </c>
      <c r="D117" t="s">
        <v>1</v>
      </c>
      <c r="E117" s="2">
        <v>46224</v>
      </c>
      <c r="F117" s="2">
        <v>46224</v>
      </c>
      <c r="G117" s="3">
        <v>4</v>
      </c>
      <c r="H117" t="s">
        <v>149</v>
      </c>
      <c r="I117" s="3">
        <v>4</v>
      </c>
      <c r="J117" t="s">
        <v>203</v>
      </c>
      <c r="K117" t="s">
        <v>4</v>
      </c>
      <c r="L117" t="s">
        <v>146</v>
      </c>
      <c r="M117" t="s">
        <v>6</v>
      </c>
      <c r="N117" t="s">
        <v>7</v>
      </c>
      <c r="O117" t="s">
        <v>7</v>
      </c>
      <c r="Q117" t="b">
        <f t="shared" si="15"/>
        <v>1</v>
      </c>
      <c r="R117" t="b">
        <f t="shared" si="16"/>
        <v>1</v>
      </c>
      <c r="S117" t="b">
        <f t="shared" si="17"/>
        <v>1</v>
      </c>
      <c r="T117" t="b">
        <f t="shared" si="18"/>
        <v>1</v>
      </c>
      <c r="U117" t="b">
        <f t="shared" si="19"/>
        <v>1</v>
      </c>
      <c r="V117" t="b">
        <f t="shared" si="20"/>
        <v>1</v>
      </c>
      <c r="W117" t="b">
        <f t="shared" si="21"/>
        <v>1</v>
      </c>
      <c r="X117" t="b">
        <f t="shared" si="22"/>
        <v>1</v>
      </c>
      <c r="Y117" t="b">
        <f t="shared" si="23"/>
        <v>1</v>
      </c>
      <c r="Z117" t="b">
        <f t="shared" si="24"/>
        <v>1</v>
      </c>
      <c r="AA117" t="b">
        <f t="shared" si="25"/>
        <v>1</v>
      </c>
      <c r="AB117" t="b">
        <f t="shared" si="26"/>
        <v>1</v>
      </c>
      <c r="AC117" t="b">
        <f t="shared" si="27"/>
        <v>1</v>
      </c>
      <c r="AD117" t="b">
        <f t="shared" si="28"/>
        <v>1</v>
      </c>
      <c r="AE117" t="b">
        <f t="shared" si="29"/>
        <v>1</v>
      </c>
      <c r="AG117" s="1">
        <v>2742630</v>
      </c>
      <c r="AH117" t="s">
        <v>632</v>
      </c>
      <c r="AI117">
        <v>540</v>
      </c>
      <c r="AJ117" t="s">
        <v>503</v>
      </c>
      <c r="AK117" s="2">
        <v>46224</v>
      </c>
      <c r="AL117" s="2">
        <v>46224</v>
      </c>
      <c r="AM117" s="3">
        <v>4</v>
      </c>
      <c r="AN117" t="s">
        <v>149</v>
      </c>
      <c r="AO117" s="3">
        <v>4</v>
      </c>
      <c r="AP117" t="s">
        <v>684</v>
      </c>
      <c r="AR117" t="s">
        <v>631</v>
      </c>
    </row>
    <row r="118" spans="1:47" x14ac:dyDescent="0.25">
      <c r="A118" s="1">
        <v>2742776</v>
      </c>
      <c r="B118" t="s">
        <v>204</v>
      </c>
      <c r="C118">
        <v>550</v>
      </c>
      <c r="D118" t="s">
        <v>1</v>
      </c>
      <c r="E118" s="2">
        <v>46224</v>
      </c>
      <c r="F118" s="2">
        <v>46224</v>
      </c>
      <c r="G118" s="3">
        <v>4</v>
      </c>
      <c r="H118" t="s">
        <v>20</v>
      </c>
      <c r="I118" s="3">
        <v>1900</v>
      </c>
      <c r="J118" t="s">
        <v>205</v>
      </c>
      <c r="K118" t="s">
        <v>4</v>
      </c>
      <c r="L118" t="s">
        <v>59</v>
      </c>
      <c r="M118" t="s">
        <v>6</v>
      </c>
      <c r="N118" t="s">
        <v>206</v>
      </c>
      <c r="O118" t="s">
        <v>7</v>
      </c>
      <c r="Q118" t="b">
        <f t="shared" si="15"/>
        <v>1</v>
      </c>
      <c r="R118" t="b">
        <f t="shared" si="16"/>
        <v>1</v>
      </c>
      <c r="S118" t="b">
        <f t="shared" si="17"/>
        <v>0</v>
      </c>
      <c r="T118" t="b">
        <f t="shared" si="18"/>
        <v>1</v>
      </c>
      <c r="U118" t="b">
        <f t="shared" si="19"/>
        <v>1</v>
      </c>
      <c r="V118" t="b">
        <f t="shared" si="20"/>
        <v>1</v>
      </c>
      <c r="W118" t="b">
        <f t="shared" si="21"/>
        <v>1</v>
      </c>
      <c r="X118" t="b">
        <f t="shared" si="22"/>
        <v>1</v>
      </c>
      <c r="Y118" t="b">
        <f t="shared" si="23"/>
        <v>1</v>
      </c>
      <c r="Z118" t="b">
        <f t="shared" si="24"/>
        <v>1</v>
      </c>
      <c r="AA118" t="b">
        <f t="shared" si="25"/>
        <v>1</v>
      </c>
      <c r="AB118" t="b">
        <f t="shared" si="26"/>
        <v>1</v>
      </c>
      <c r="AC118" t="b">
        <f t="shared" si="27"/>
        <v>1</v>
      </c>
      <c r="AD118" t="b">
        <f t="shared" si="28"/>
        <v>1</v>
      </c>
      <c r="AE118" t="b">
        <f t="shared" si="29"/>
        <v>1</v>
      </c>
      <c r="AG118" s="1">
        <v>2742776</v>
      </c>
      <c r="AH118" t="s">
        <v>685</v>
      </c>
      <c r="AI118">
        <v>540</v>
      </c>
      <c r="AJ118" t="s">
        <v>503</v>
      </c>
      <c r="AK118" s="2">
        <v>46224</v>
      </c>
      <c r="AL118" s="2">
        <v>46224</v>
      </c>
      <c r="AM118" s="3">
        <v>4</v>
      </c>
      <c r="AN118" t="s">
        <v>20</v>
      </c>
      <c r="AO118" s="3">
        <v>1900</v>
      </c>
      <c r="AP118" t="s">
        <v>686</v>
      </c>
      <c r="AR118" t="s">
        <v>547</v>
      </c>
      <c r="AT118" t="s">
        <v>687</v>
      </c>
    </row>
    <row r="119" spans="1:47" x14ac:dyDescent="0.25">
      <c r="A119" s="1">
        <v>2742793</v>
      </c>
      <c r="B119" t="s">
        <v>207</v>
      </c>
      <c r="C119">
        <v>550</v>
      </c>
      <c r="D119" t="s">
        <v>1</v>
      </c>
      <c r="E119" s="2">
        <v>46224</v>
      </c>
      <c r="F119" s="2">
        <v>46224</v>
      </c>
      <c r="G119" s="3">
        <v>4</v>
      </c>
      <c r="H119" t="s">
        <v>20</v>
      </c>
      <c r="I119" s="3">
        <v>1800</v>
      </c>
      <c r="J119" t="s">
        <v>115</v>
      </c>
      <c r="K119" t="s">
        <v>4</v>
      </c>
      <c r="L119" t="s">
        <v>37</v>
      </c>
      <c r="M119" t="s">
        <v>23</v>
      </c>
      <c r="N119" t="s">
        <v>7</v>
      </c>
      <c r="O119" t="s">
        <v>7</v>
      </c>
      <c r="Q119" t="b">
        <f t="shared" si="15"/>
        <v>1</v>
      </c>
      <c r="R119" t="b">
        <f t="shared" si="16"/>
        <v>1</v>
      </c>
      <c r="S119" t="b">
        <f t="shared" si="17"/>
        <v>1</v>
      </c>
      <c r="T119" t="b">
        <f t="shared" si="18"/>
        <v>1</v>
      </c>
      <c r="U119" t="b">
        <f t="shared" si="19"/>
        <v>1</v>
      </c>
      <c r="V119" t="b">
        <f t="shared" si="20"/>
        <v>1</v>
      </c>
      <c r="W119" t="b">
        <f t="shared" si="21"/>
        <v>1</v>
      </c>
      <c r="X119" t="b">
        <f t="shared" si="22"/>
        <v>1</v>
      </c>
      <c r="Y119" t="b">
        <f t="shared" si="23"/>
        <v>1</v>
      </c>
      <c r="Z119" t="b">
        <f t="shared" si="24"/>
        <v>1</v>
      </c>
      <c r="AA119" t="b">
        <f t="shared" si="25"/>
        <v>1</v>
      </c>
      <c r="AB119" t="b">
        <f t="shared" si="26"/>
        <v>1</v>
      </c>
      <c r="AC119" t="b">
        <f t="shared" si="27"/>
        <v>1</v>
      </c>
      <c r="AD119" t="b">
        <f t="shared" si="28"/>
        <v>1</v>
      </c>
      <c r="AE119" t="b">
        <f t="shared" si="29"/>
        <v>1</v>
      </c>
      <c r="AG119" s="1">
        <v>2742793</v>
      </c>
      <c r="AH119" t="s">
        <v>688</v>
      </c>
      <c r="AI119">
        <v>550</v>
      </c>
      <c r="AJ119" t="s">
        <v>503</v>
      </c>
      <c r="AK119" s="2">
        <v>46224</v>
      </c>
      <c r="AL119" s="2">
        <v>46224</v>
      </c>
      <c r="AM119" s="3">
        <v>4</v>
      </c>
      <c r="AN119" t="s">
        <v>20</v>
      </c>
      <c r="AO119" s="3">
        <v>1800</v>
      </c>
      <c r="AP119" t="s">
        <v>601</v>
      </c>
      <c r="AR119" t="s">
        <v>528</v>
      </c>
      <c r="AS119" t="s">
        <v>23</v>
      </c>
    </row>
    <row r="120" spans="1:47" x14ac:dyDescent="0.25">
      <c r="A120" s="1">
        <v>2744105</v>
      </c>
      <c r="B120" t="s">
        <v>134</v>
      </c>
      <c r="C120">
        <v>530</v>
      </c>
      <c r="D120" t="s">
        <v>1</v>
      </c>
      <c r="E120" s="2">
        <v>46218</v>
      </c>
      <c r="F120" s="2">
        <v>46224</v>
      </c>
      <c r="G120" s="3">
        <v>6</v>
      </c>
      <c r="H120" t="s">
        <v>20</v>
      </c>
      <c r="I120" s="3">
        <v>2850</v>
      </c>
      <c r="J120" t="s">
        <v>137</v>
      </c>
      <c r="K120" t="s">
        <v>4</v>
      </c>
      <c r="L120" t="s">
        <v>37</v>
      </c>
      <c r="M120" t="s">
        <v>6</v>
      </c>
      <c r="N120" t="s">
        <v>7</v>
      </c>
      <c r="O120" t="s">
        <v>7</v>
      </c>
      <c r="Q120" t="b">
        <f t="shared" si="15"/>
        <v>1</v>
      </c>
      <c r="R120" t="b">
        <f t="shared" si="16"/>
        <v>1</v>
      </c>
      <c r="S120" t="b">
        <f t="shared" si="17"/>
        <v>1</v>
      </c>
      <c r="T120" t="b">
        <f t="shared" si="18"/>
        <v>1</v>
      </c>
      <c r="U120" t="b">
        <f t="shared" si="19"/>
        <v>1</v>
      </c>
      <c r="V120" t="b">
        <f t="shared" si="20"/>
        <v>1</v>
      </c>
      <c r="W120" t="b">
        <f t="shared" si="21"/>
        <v>1</v>
      </c>
      <c r="X120" t="b">
        <f t="shared" si="22"/>
        <v>1</v>
      </c>
      <c r="Y120" t="b">
        <f t="shared" si="23"/>
        <v>1</v>
      </c>
      <c r="Z120" t="b">
        <f t="shared" si="24"/>
        <v>1</v>
      </c>
      <c r="AA120" t="b">
        <f t="shared" si="25"/>
        <v>1</v>
      </c>
      <c r="AB120" t="b">
        <f t="shared" si="26"/>
        <v>1</v>
      </c>
      <c r="AC120" t="b">
        <f t="shared" si="27"/>
        <v>1</v>
      </c>
      <c r="AD120" t="b">
        <f t="shared" si="28"/>
        <v>1</v>
      </c>
      <c r="AE120" t="b">
        <f t="shared" si="29"/>
        <v>1</v>
      </c>
      <c r="AG120" s="1">
        <v>2744105</v>
      </c>
      <c r="AH120" t="s">
        <v>619</v>
      </c>
      <c r="AI120">
        <v>530</v>
      </c>
      <c r="AJ120" t="s">
        <v>503</v>
      </c>
      <c r="AK120" s="2">
        <v>46218</v>
      </c>
      <c r="AL120" s="2">
        <v>46224</v>
      </c>
      <c r="AM120" s="3">
        <v>6</v>
      </c>
      <c r="AN120" t="s">
        <v>20</v>
      </c>
      <c r="AO120" s="3">
        <v>2850</v>
      </c>
      <c r="AP120" t="s">
        <v>622</v>
      </c>
      <c r="AR120" t="s">
        <v>528</v>
      </c>
    </row>
    <row r="121" spans="1:47" x14ac:dyDescent="0.25">
      <c r="A121" s="1">
        <v>2744278</v>
      </c>
      <c r="B121" t="s">
        <v>154</v>
      </c>
      <c r="C121">
        <v>540</v>
      </c>
      <c r="D121" t="s">
        <v>1</v>
      </c>
      <c r="E121" s="2">
        <v>46220</v>
      </c>
      <c r="F121" s="2">
        <v>46224</v>
      </c>
      <c r="G121" s="3">
        <v>8</v>
      </c>
      <c r="H121" t="s">
        <v>149</v>
      </c>
      <c r="I121" s="3">
        <v>8</v>
      </c>
      <c r="J121" t="s">
        <v>208</v>
      </c>
      <c r="K121" t="s">
        <v>130</v>
      </c>
      <c r="L121" t="s">
        <v>126</v>
      </c>
      <c r="M121" t="s">
        <v>6</v>
      </c>
      <c r="N121" t="s">
        <v>7</v>
      </c>
      <c r="O121" t="s">
        <v>7</v>
      </c>
      <c r="Q121" t="b">
        <f t="shared" si="15"/>
        <v>1</v>
      </c>
      <c r="R121" t="b">
        <f t="shared" si="16"/>
        <v>1</v>
      </c>
      <c r="S121" t="b">
        <f t="shared" si="17"/>
        <v>1</v>
      </c>
      <c r="T121" t="b">
        <f t="shared" si="18"/>
        <v>1</v>
      </c>
      <c r="U121" t="b">
        <f t="shared" si="19"/>
        <v>1</v>
      </c>
      <c r="V121" t="b">
        <f t="shared" si="20"/>
        <v>1</v>
      </c>
      <c r="W121" t="b">
        <f t="shared" si="21"/>
        <v>1</v>
      </c>
      <c r="X121" t="b">
        <f t="shared" si="22"/>
        <v>1</v>
      </c>
      <c r="Y121" t="b">
        <f t="shared" si="23"/>
        <v>1</v>
      </c>
      <c r="Z121" t="b">
        <f t="shared" si="24"/>
        <v>1</v>
      </c>
      <c r="AA121" t="b">
        <f t="shared" si="25"/>
        <v>1</v>
      </c>
      <c r="AB121" t="b">
        <f t="shared" si="26"/>
        <v>1</v>
      </c>
      <c r="AC121" t="b">
        <f t="shared" si="27"/>
        <v>1</v>
      </c>
      <c r="AD121" t="b">
        <f t="shared" si="28"/>
        <v>1</v>
      </c>
      <c r="AE121" t="b">
        <f t="shared" si="29"/>
        <v>1</v>
      </c>
      <c r="AG121" s="1">
        <v>2744278</v>
      </c>
      <c r="AH121" t="s">
        <v>154</v>
      </c>
      <c r="AI121">
        <v>540</v>
      </c>
      <c r="AJ121" t="s">
        <v>503</v>
      </c>
      <c r="AK121" s="2">
        <v>46220</v>
      </c>
      <c r="AL121" s="2">
        <v>46224</v>
      </c>
      <c r="AM121" s="3">
        <v>8</v>
      </c>
      <c r="AN121" t="s">
        <v>149</v>
      </c>
      <c r="AO121" s="3">
        <v>8</v>
      </c>
      <c r="AP121" t="s">
        <v>689</v>
      </c>
      <c r="AQ121" t="s">
        <v>130</v>
      </c>
      <c r="AR121" t="s">
        <v>612</v>
      </c>
    </row>
    <row r="122" spans="1:47" x14ac:dyDescent="0.25">
      <c r="A122" s="1">
        <v>2744279</v>
      </c>
      <c r="B122" t="s">
        <v>0</v>
      </c>
      <c r="C122">
        <v>530</v>
      </c>
      <c r="D122" t="s">
        <v>1</v>
      </c>
      <c r="E122" s="2">
        <v>46224</v>
      </c>
      <c r="F122" s="2">
        <v>46224</v>
      </c>
      <c r="G122" s="3">
        <v>2</v>
      </c>
      <c r="H122" t="s">
        <v>2</v>
      </c>
      <c r="I122" s="3">
        <v>80</v>
      </c>
      <c r="J122" t="s">
        <v>209</v>
      </c>
      <c r="K122" t="s">
        <v>4</v>
      </c>
      <c r="L122" t="s">
        <v>146</v>
      </c>
      <c r="M122" t="s">
        <v>6</v>
      </c>
      <c r="N122" t="s">
        <v>7</v>
      </c>
      <c r="O122" t="s">
        <v>7</v>
      </c>
      <c r="Q122" t="b">
        <f t="shared" si="15"/>
        <v>1</v>
      </c>
      <c r="R122" t="b">
        <f t="shared" si="16"/>
        <v>1</v>
      </c>
      <c r="S122" t="b">
        <f t="shared" si="17"/>
        <v>1</v>
      </c>
      <c r="T122" t="b">
        <f t="shared" si="18"/>
        <v>1</v>
      </c>
      <c r="U122" t="b">
        <f t="shared" si="19"/>
        <v>1</v>
      </c>
      <c r="V122" t="b">
        <f t="shared" si="20"/>
        <v>1</v>
      </c>
      <c r="W122" t="b">
        <f t="shared" si="21"/>
        <v>1</v>
      </c>
      <c r="X122" t="b">
        <f t="shared" si="22"/>
        <v>1</v>
      </c>
      <c r="Y122" t="b">
        <f t="shared" si="23"/>
        <v>1</v>
      </c>
      <c r="Z122" t="b">
        <f t="shared" si="24"/>
        <v>1</v>
      </c>
      <c r="AA122" t="b">
        <f t="shared" si="25"/>
        <v>1</v>
      </c>
      <c r="AB122" t="b">
        <f t="shared" si="26"/>
        <v>1</v>
      </c>
      <c r="AC122" t="b">
        <f t="shared" si="27"/>
        <v>1</v>
      </c>
      <c r="AD122" t="b">
        <f t="shared" si="28"/>
        <v>1</v>
      </c>
      <c r="AE122" t="b">
        <f t="shared" si="29"/>
        <v>1</v>
      </c>
      <c r="AG122" s="1">
        <v>2744279</v>
      </c>
      <c r="AH122" t="s">
        <v>502</v>
      </c>
      <c r="AI122">
        <v>530</v>
      </c>
      <c r="AJ122" t="s">
        <v>503</v>
      </c>
      <c r="AK122" s="2">
        <v>46224</v>
      </c>
      <c r="AL122" s="2">
        <v>46224</v>
      </c>
      <c r="AM122" s="3">
        <v>2</v>
      </c>
      <c r="AN122" t="s">
        <v>2</v>
      </c>
      <c r="AO122" s="3">
        <v>80</v>
      </c>
      <c r="AP122" t="s">
        <v>690</v>
      </c>
      <c r="AR122" t="s">
        <v>631</v>
      </c>
    </row>
    <row r="123" spans="1:47" x14ac:dyDescent="0.25">
      <c r="A123" s="1">
        <v>2696734</v>
      </c>
      <c r="B123" t="s">
        <v>210</v>
      </c>
      <c r="C123">
        <v>540</v>
      </c>
      <c r="D123" t="s">
        <v>1</v>
      </c>
      <c r="E123" s="2">
        <v>46225</v>
      </c>
      <c r="F123" s="2">
        <v>46225</v>
      </c>
      <c r="G123" s="3">
        <v>8</v>
      </c>
      <c r="H123" t="s">
        <v>20</v>
      </c>
      <c r="I123" s="3">
        <v>0</v>
      </c>
      <c r="J123" t="s">
        <v>211</v>
      </c>
      <c r="K123" t="s">
        <v>4</v>
      </c>
      <c r="L123" t="s">
        <v>108</v>
      </c>
      <c r="M123" t="s">
        <v>6</v>
      </c>
      <c r="N123" t="s">
        <v>7</v>
      </c>
      <c r="O123" t="s">
        <v>212</v>
      </c>
      <c r="Q123" t="b">
        <f t="shared" si="15"/>
        <v>1</v>
      </c>
      <c r="R123" t="b">
        <f t="shared" si="16"/>
        <v>1</v>
      </c>
      <c r="S123" t="b">
        <f t="shared" si="17"/>
        <v>1</v>
      </c>
      <c r="T123" t="b">
        <f t="shared" si="18"/>
        <v>1</v>
      </c>
      <c r="U123" t="b">
        <f t="shared" si="19"/>
        <v>1</v>
      </c>
      <c r="V123" t="b">
        <f t="shared" si="20"/>
        <v>1</v>
      </c>
      <c r="W123" t="b">
        <f t="shared" si="21"/>
        <v>1</v>
      </c>
      <c r="X123" t="b">
        <f t="shared" si="22"/>
        <v>1</v>
      </c>
      <c r="Y123" t="b">
        <f t="shared" si="23"/>
        <v>1</v>
      </c>
      <c r="Z123" t="b">
        <f t="shared" si="24"/>
        <v>1</v>
      </c>
      <c r="AA123" t="b">
        <f t="shared" si="25"/>
        <v>1</v>
      </c>
      <c r="AB123" t="b">
        <f t="shared" si="26"/>
        <v>1</v>
      </c>
      <c r="AC123" t="b">
        <f t="shared" si="27"/>
        <v>1</v>
      </c>
      <c r="AD123" t="b">
        <f t="shared" si="28"/>
        <v>1</v>
      </c>
      <c r="AE123" t="b">
        <f t="shared" si="29"/>
        <v>1</v>
      </c>
      <c r="AG123" s="1">
        <v>2696734</v>
      </c>
      <c r="AH123" t="s">
        <v>691</v>
      </c>
      <c r="AI123">
        <v>540</v>
      </c>
      <c r="AJ123" t="s">
        <v>503</v>
      </c>
      <c r="AK123" s="2">
        <v>46225</v>
      </c>
      <c r="AL123" s="2">
        <v>46225</v>
      </c>
      <c r="AM123" s="3">
        <v>8</v>
      </c>
      <c r="AN123" t="s">
        <v>20</v>
      </c>
      <c r="AO123" s="3">
        <v>0</v>
      </c>
      <c r="AP123" t="s">
        <v>692</v>
      </c>
      <c r="AR123" t="s">
        <v>595</v>
      </c>
      <c r="AU123" t="s">
        <v>693</v>
      </c>
    </row>
    <row r="124" spans="1:47" x14ac:dyDescent="0.25">
      <c r="A124" s="1">
        <v>2717907</v>
      </c>
      <c r="B124" t="s">
        <v>213</v>
      </c>
      <c r="C124">
        <v>540</v>
      </c>
      <c r="D124" t="s">
        <v>1</v>
      </c>
      <c r="E124" s="2">
        <v>46218</v>
      </c>
      <c r="F124" s="2">
        <v>46225</v>
      </c>
      <c r="G124" s="3">
        <v>4956</v>
      </c>
      <c r="H124" t="s">
        <v>16</v>
      </c>
      <c r="I124" s="3">
        <v>4956</v>
      </c>
      <c r="J124" t="s">
        <v>214</v>
      </c>
      <c r="K124" t="s">
        <v>4</v>
      </c>
      <c r="L124" t="s">
        <v>37</v>
      </c>
      <c r="M124" t="s">
        <v>23</v>
      </c>
      <c r="N124" t="s">
        <v>7</v>
      </c>
      <c r="O124" t="s">
        <v>7</v>
      </c>
      <c r="Q124" t="b">
        <f t="shared" si="15"/>
        <v>1</v>
      </c>
      <c r="R124" t="b">
        <f t="shared" si="16"/>
        <v>1</v>
      </c>
      <c r="S124" t="b">
        <f t="shared" si="17"/>
        <v>1</v>
      </c>
      <c r="T124" t="b">
        <f t="shared" si="18"/>
        <v>1</v>
      </c>
      <c r="U124" t="b">
        <f t="shared" si="19"/>
        <v>1</v>
      </c>
      <c r="V124" t="b">
        <f t="shared" si="20"/>
        <v>1</v>
      </c>
      <c r="W124" t="b">
        <f t="shared" si="21"/>
        <v>1</v>
      </c>
      <c r="X124" t="b">
        <f t="shared" si="22"/>
        <v>1</v>
      </c>
      <c r="Y124" t="b">
        <f t="shared" si="23"/>
        <v>1</v>
      </c>
      <c r="Z124" t="b">
        <f t="shared" si="24"/>
        <v>1</v>
      </c>
      <c r="AA124" t="b">
        <f t="shared" si="25"/>
        <v>1</v>
      </c>
      <c r="AB124" t="b">
        <f t="shared" si="26"/>
        <v>1</v>
      </c>
      <c r="AC124" t="b">
        <f t="shared" si="27"/>
        <v>1</v>
      </c>
      <c r="AD124" t="b">
        <f t="shared" si="28"/>
        <v>1</v>
      </c>
      <c r="AE124" t="b">
        <f t="shared" si="29"/>
        <v>1</v>
      </c>
      <c r="AG124" s="1">
        <v>2717907</v>
      </c>
      <c r="AH124" t="s">
        <v>213</v>
      </c>
      <c r="AI124">
        <v>540</v>
      </c>
      <c r="AJ124" t="s">
        <v>503</v>
      </c>
      <c r="AK124" s="2">
        <v>46218</v>
      </c>
      <c r="AL124" s="2">
        <v>46225</v>
      </c>
      <c r="AM124" s="3">
        <v>4956</v>
      </c>
      <c r="AN124" t="s">
        <v>16</v>
      </c>
      <c r="AO124" s="3">
        <v>4956</v>
      </c>
      <c r="AP124" t="s">
        <v>694</v>
      </c>
      <c r="AR124" t="s">
        <v>528</v>
      </c>
      <c r="AS124" t="s">
        <v>23</v>
      </c>
    </row>
    <row r="125" spans="1:47" x14ac:dyDescent="0.25">
      <c r="A125" s="1">
        <v>2723943</v>
      </c>
      <c r="B125" t="s">
        <v>99</v>
      </c>
      <c r="C125">
        <v>540</v>
      </c>
      <c r="D125" t="s">
        <v>1</v>
      </c>
      <c r="E125" s="2">
        <v>46225</v>
      </c>
      <c r="F125" s="2">
        <v>46225</v>
      </c>
      <c r="G125" s="3">
        <v>1</v>
      </c>
      <c r="H125" t="s">
        <v>11</v>
      </c>
      <c r="I125" s="3">
        <v>2200</v>
      </c>
      <c r="J125" t="s">
        <v>215</v>
      </c>
      <c r="K125" t="s">
        <v>4</v>
      </c>
      <c r="L125" t="s">
        <v>108</v>
      </c>
      <c r="M125" t="s">
        <v>6</v>
      </c>
      <c r="N125" t="s">
        <v>7</v>
      </c>
      <c r="O125" t="s">
        <v>7</v>
      </c>
      <c r="Q125" t="b">
        <f t="shared" si="15"/>
        <v>1</v>
      </c>
      <c r="R125" t="b">
        <f t="shared" si="16"/>
        <v>1</v>
      </c>
      <c r="S125" t="b">
        <f t="shared" si="17"/>
        <v>1</v>
      </c>
      <c r="T125" t="b">
        <f t="shared" si="18"/>
        <v>1</v>
      </c>
      <c r="U125" t="b">
        <f t="shared" si="19"/>
        <v>1</v>
      </c>
      <c r="V125" t="b">
        <f t="shared" si="20"/>
        <v>1</v>
      </c>
      <c r="W125" t="b">
        <f t="shared" si="21"/>
        <v>1</v>
      </c>
      <c r="X125" t="b">
        <f t="shared" si="22"/>
        <v>1</v>
      </c>
      <c r="Y125" t="b">
        <f t="shared" si="23"/>
        <v>1</v>
      </c>
      <c r="Z125" t="b">
        <f t="shared" si="24"/>
        <v>1</v>
      </c>
      <c r="AA125" t="b">
        <f t="shared" si="25"/>
        <v>1</v>
      </c>
      <c r="AB125" t="b">
        <f t="shared" si="26"/>
        <v>1</v>
      </c>
      <c r="AC125" t="b">
        <f t="shared" si="27"/>
        <v>1</v>
      </c>
      <c r="AD125" t="b">
        <f t="shared" si="28"/>
        <v>1</v>
      </c>
      <c r="AE125" t="b">
        <f t="shared" si="29"/>
        <v>1</v>
      </c>
      <c r="AG125" s="1">
        <v>2723943</v>
      </c>
      <c r="AH125" t="s">
        <v>586</v>
      </c>
      <c r="AI125">
        <v>540</v>
      </c>
      <c r="AJ125" t="s">
        <v>503</v>
      </c>
      <c r="AK125" s="2">
        <v>46225</v>
      </c>
      <c r="AL125" s="2">
        <v>46225</v>
      </c>
      <c r="AM125" s="3">
        <v>1</v>
      </c>
      <c r="AN125" t="s">
        <v>11</v>
      </c>
      <c r="AO125" s="3">
        <v>2200</v>
      </c>
      <c r="AP125" t="s">
        <v>695</v>
      </c>
      <c r="AR125" t="s">
        <v>595</v>
      </c>
    </row>
    <row r="126" spans="1:47" x14ac:dyDescent="0.25">
      <c r="A126" s="1">
        <v>2724545</v>
      </c>
      <c r="B126" t="s">
        <v>216</v>
      </c>
      <c r="C126">
        <v>540</v>
      </c>
      <c r="D126" t="s">
        <v>1</v>
      </c>
      <c r="E126" s="2">
        <v>46225</v>
      </c>
      <c r="F126" s="2">
        <v>46225</v>
      </c>
      <c r="G126" s="3">
        <v>2</v>
      </c>
      <c r="H126" t="s">
        <v>11</v>
      </c>
      <c r="I126" s="3">
        <v>5200</v>
      </c>
      <c r="J126" t="s">
        <v>217</v>
      </c>
      <c r="K126" t="s">
        <v>4</v>
      </c>
      <c r="L126" t="s">
        <v>30</v>
      </c>
      <c r="M126" t="s">
        <v>6</v>
      </c>
      <c r="N126" t="s">
        <v>218</v>
      </c>
      <c r="O126" t="s">
        <v>7</v>
      </c>
      <c r="Q126" t="b">
        <f t="shared" si="15"/>
        <v>1</v>
      </c>
      <c r="R126" t="b">
        <f t="shared" si="16"/>
        <v>1</v>
      </c>
      <c r="S126" t="b">
        <f t="shared" si="17"/>
        <v>1</v>
      </c>
      <c r="T126" t="b">
        <f t="shared" si="18"/>
        <v>1</v>
      </c>
      <c r="U126" t="b">
        <f t="shared" si="19"/>
        <v>1</v>
      </c>
      <c r="V126" t="b">
        <f t="shared" si="20"/>
        <v>1</v>
      </c>
      <c r="W126" t="b">
        <f t="shared" si="21"/>
        <v>1</v>
      </c>
      <c r="X126" t="b">
        <f t="shared" si="22"/>
        <v>1</v>
      </c>
      <c r="Y126" t="b">
        <f t="shared" si="23"/>
        <v>1</v>
      </c>
      <c r="Z126" t="b">
        <f t="shared" si="24"/>
        <v>1</v>
      </c>
      <c r="AA126" t="b">
        <f t="shared" si="25"/>
        <v>1</v>
      </c>
      <c r="AB126" t="b">
        <f t="shared" si="26"/>
        <v>1</v>
      </c>
      <c r="AC126" t="b">
        <f t="shared" si="27"/>
        <v>1</v>
      </c>
      <c r="AD126" t="b">
        <f t="shared" si="28"/>
        <v>1</v>
      </c>
      <c r="AE126" t="b">
        <f t="shared" si="29"/>
        <v>1</v>
      </c>
      <c r="AG126" s="1">
        <v>2724545</v>
      </c>
      <c r="AH126" t="s">
        <v>696</v>
      </c>
      <c r="AI126">
        <v>540</v>
      </c>
      <c r="AJ126" t="s">
        <v>503</v>
      </c>
      <c r="AK126" s="2">
        <v>46225</v>
      </c>
      <c r="AL126" s="2">
        <v>46225</v>
      </c>
      <c r="AM126" s="3">
        <v>2</v>
      </c>
      <c r="AN126" t="s">
        <v>11</v>
      </c>
      <c r="AO126" s="3">
        <v>5200</v>
      </c>
      <c r="AP126" t="s">
        <v>697</v>
      </c>
      <c r="AR126" t="s">
        <v>521</v>
      </c>
      <c r="AT126" t="s">
        <v>698</v>
      </c>
    </row>
    <row r="127" spans="1:47" x14ac:dyDescent="0.25">
      <c r="A127" s="1">
        <v>2727479</v>
      </c>
      <c r="B127" t="s">
        <v>219</v>
      </c>
      <c r="C127">
        <v>540</v>
      </c>
      <c r="D127" t="s">
        <v>1</v>
      </c>
      <c r="E127" s="2">
        <v>46211</v>
      </c>
      <c r="F127" s="2">
        <v>46225</v>
      </c>
      <c r="G127" s="3">
        <v>8</v>
      </c>
      <c r="H127" t="s">
        <v>20</v>
      </c>
      <c r="I127" s="3">
        <v>3600</v>
      </c>
      <c r="J127" t="s">
        <v>220</v>
      </c>
      <c r="K127" t="s">
        <v>4</v>
      </c>
      <c r="L127" t="s">
        <v>108</v>
      </c>
      <c r="M127" t="s">
        <v>6</v>
      </c>
      <c r="N127" t="s">
        <v>7</v>
      </c>
      <c r="O127" t="s">
        <v>7</v>
      </c>
      <c r="Q127" t="b">
        <f t="shared" si="15"/>
        <v>1</v>
      </c>
      <c r="R127" t="b">
        <f t="shared" si="16"/>
        <v>1</v>
      </c>
      <c r="S127" t="b">
        <f t="shared" si="17"/>
        <v>1</v>
      </c>
      <c r="T127" t="b">
        <f t="shared" si="18"/>
        <v>1</v>
      </c>
      <c r="U127" t="b">
        <f t="shared" si="19"/>
        <v>1</v>
      </c>
      <c r="V127" t="b">
        <f t="shared" si="20"/>
        <v>1</v>
      </c>
      <c r="W127" t="b">
        <f t="shared" si="21"/>
        <v>1</v>
      </c>
      <c r="X127" t="b">
        <f t="shared" si="22"/>
        <v>1</v>
      </c>
      <c r="Y127" t="b">
        <f t="shared" si="23"/>
        <v>1</v>
      </c>
      <c r="Z127" t="b">
        <f t="shared" si="24"/>
        <v>1</v>
      </c>
      <c r="AA127" t="b">
        <f t="shared" si="25"/>
        <v>1</v>
      </c>
      <c r="AB127" t="b">
        <f t="shared" si="26"/>
        <v>1</v>
      </c>
      <c r="AC127" t="b">
        <f t="shared" si="27"/>
        <v>1</v>
      </c>
      <c r="AD127" t="b">
        <f t="shared" si="28"/>
        <v>1</v>
      </c>
      <c r="AE127" t="b">
        <f t="shared" si="29"/>
        <v>1</v>
      </c>
      <c r="AG127" s="1">
        <v>2727479</v>
      </c>
      <c r="AH127" t="s">
        <v>219</v>
      </c>
      <c r="AI127">
        <v>540</v>
      </c>
      <c r="AJ127" t="s">
        <v>503</v>
      </c>
      <c r="AK127" s="2">
        <v>46211</v>
      </c>
      <c r="AL127" s="2">
        <v>46225</v>
      </c>
      <c r="AM127" s="3">
        <v>8</v>
      </c>
      <c r="AN127" t="s">
        <v>20</v>
      </c>
      <c r="AO127" s="3">
        <v>3600</v>
      </c>
      <c r="AP127" t="s">
        <v>699</v>
      </c>
      <c r="AR127" t="s">
        <v>595</v>
      </c>
    </row>
    <row r="128" spans="1:47" x14ac:dyDescent="0.25">
      <c r="A128" s="1">
        <v>2727932</v>
      </c>
      <c r="B128" t="s">
        <v>10</v>
      </c>
      <c r="C128">
        <v>540</v>
      </c>
      <c r="D128" t="s">
        <v>15</v>
      </c>
      <c r="E128" s="2">
        <v>46225</v>
      </c>
      <c r="F128" s="2">
        <v>46225</v>
      </c>
      <c r="G128" s="3">
        <v>44000</v>
      </c>
      <c r="H128" t="s">
        <v>16</v>
      </c>
      <c r="I128" s="3">
        <v>44000</v>
      </c>
      <c r="J128" t="s">
        <v>95</v>
      </c>
      <c r="K128" t="s">
        <v>4</v>
      </c>
      <c r="L128" t="s">
        <v>5</v>
      </c>
      <c r="M128" t="s">
        <v>6</v>
      </c>
      <c r="N128" t="s">
        <v>13</v>
      </c>
      <c r="O128" t="s">
        <v>221</v>
      </c>
      <c r="Q128" t="b">
        <f t="shared" si="15"/>
        <v>1</v>
      </c>
      <c r="R128" t="b">
        <f t="shared" si="16"/>
        <v>1</v>
      </c>
      <c r="S128" t="b">
        <f t="shared" si="17"/>
        <v>1</v>
      </c>
      <c r="T128" t="b">
        <f t="shared" si="18"/>
        <v>1</v>
      </c>
      <c r="U128" t="b">
        <f t="shared" si="19"/>
        <v>1</v>
      </c>
      <c r="V128" t="b">
        <f t="shared" si="20"/>
        <v>1</v>
      </c>
      <c r="W128" t="b">
        <f t="shared" si="21"/>
        <v>1</v>
      </c>
      <c r="X128" t="b">
        <f t="shared" si="22"/>
        <v>1</v>
      </c>
      <c r="Y128" t="b">
        <f t="shared" si="23"/>
        <v>1</v>
      </c>
      <c r="Z128" t="b">
        <f t="shared" si="24"/>
        <v>1</v>
      </c>
      <c r="AA128" t="b">
        <f t="shared" si="25"/>
        <v>1</v>
      </c>
      <c r="AB128" t="b">
        <f t="shared" si="26"/>
        <v>1</v>
      </c>
      <c r="AC128" t="b">
        <f t="shared" si="27"/>
        <v>1</v>
      </c>
      <c r="AD128" t="b">
        <f t="shared" si="28"/>
        <v>1</v>
      </c>
      <c r="AE128" t="b">
        <f t="shared" si="29"/>
        <v>1</v>
      </c>
      <c r="AG128" s="1">
        <v>2727932</v>
      </c>
      <c r="AH128" t="s">
        <v>507</v>
      </c>
      <c r="AI128">
        <v>540</v>
      </c>
      <c r="AJ128" t="s">
        <v>511</v>
      </c>
      <c r="AK128" s="2">
        <v>46225</v>
      </c>
      <c r="AL128" s="2">
        <v>46225</v>
      </c>
      <c r="AM128" s="3">
        <v>44000</v>
      </c>
      <c r="AN128" t="s">
        <v>16</v>
      </c>
      <c r="AO128" s="3">
        <v>44000</v>
      </c>
      <c r="AP128" t="s">
        <v>582</v>
      </c>
      <c r="AR128" t="s">
        <v>505</v>
      </c>
      <c r="AT128" t="s">
        <v>509</v>
      </c>
      <c r="AU128" t="s">
        <v>700</v>
      </c>
    </row>
    <row r="129" spans="1:46" x14ac:dyDescent="0.25">
      <c r="A129" s="1">
        <v>2728311</v>
      </c>
      <c r="B129" t="s">
        <v>222</v>
      </c>
      <c r="C129">
        <v>540</v>
      </c>
      <c r="D129" t="s">
        <v>1</v>
      </c>
      <c r="E129" s="2">
        <v>46225</v>
      </c>
      <c r="F129" s="2">
        <v>46225</v>
      </c>
      <c r="G129" s="3">
        <v>1</v>
      </c>
      <c r="H129" t="s">
        <v>11</v>
      </c>
      <c r="I129" s="3">
        <v>2700</v>
      </c>
      <c r="J129" t="s">
        <v>223</v>
      </c>
      <c r="K129" t="s">
        <v>4</v>
      </c>
      <c r="L129" t="s">
        <v>37</v>
      </c>
      <c r="M129" t="s">
        <v>23</v>
      </c>
      <c r="N129" t="s">
        <v>7</v>
      </c>
      <c r="O129" t="s">
        <v>7</v>
      </c>
      <c r="Q129" t="b">
        <f t="shared" si="15"/>
        <v>1</v>
      </c>
      <c r="R129" t="b">
        <f t="shared" si="16"/>
        <v>1</v>
      </c>
      <c r="S129" t="b">
        <f t="shared" si="17"/>
        <v>1</v>
      </c>
      <c r="T129" t="b">
        <f t="shared" si="18"/>
        <v>1</v>
      </c>
      <c r="U129" t="b">
        <f t="shared" si="19"/>
        <v>1</v>
      </c>
      <c r="V129" t="b">
        <f t="shared" si="20"/>
        <v>1</v>
      </c>
      <c r="W129" t="b">
        <f t="shared" si="21"/>
        <v>1</v>
      </c>
      <c r="X129" t="b">
        <f t="shared" si="22"/>
        <v>1</v>
      </c>
      <c r="Y129" t="b">
        <f t="shared" si="23"/>
        <v>1</v>
      </c>
      <c r="Z129" t="b">
        <f t="shared" si="24"/>
        <v>1</v>
      </c>
      <c r="AA129" t="b">
        <f t="shared" si="25"/>
        <v>1</v>
      </c>
      <c r="AB129" t="b">
        <f t="shared" si="26"/>
        <v>1</v>
      </c>
      <c r="AC129" t="b">
        <f t="shared" si="27"/>
        <v>1</v>
      </c>
      <c r="AD129" t="b">
        <f t="shared" si="28"/>
        <v>1</v>
      </c>
      <c r="AE129" t="b">
        <f t="shared" si="29"/>
        <v>1</v>
      </c>
      <c r="AG129" s="1">
        <v>2728311</v>
      </c>
      <c r="AH129" t="s">
        <v>701</v>
      </c>
      <c r="AI129">
        <v>540</v>
      </c>
      <c r="AJ129" t="s">
        <v>503</v>
      </c>
      <c r="AK129" s="2">
        <v>46225</v>
      </c>
      <c r="AL129" s="2">
        <v>46225</v>
      </c>
      <c r="AM129" s="3">
        <v>1</v>
      </c>
      <c r="AN129" t="s">
        <v>11</v>
      </c>
      <c r="AO129" s="3">
        <v>2700</v>
      </c>
      <c r="AP129" t="s">
        <v>702</v>
      </c>
      <c r="AR129" t="s">
        <v>528</v>
      </c>
      <c r="AS129" t="s">
        <v>23</v>
      </c>
    </row>
    <row r="130" spans="1:46" x14ac:dyDescent="0.25">
      <c r="A130" s="1">
        <v>2728393</v>
      </c>
      <c r="B130" t="s">
        <v>224</v>
      </c>
      <c r="C130">
        <v>540</v>
      </c>
      <c r="D130" t="s">
        <v>1</v>
      </c>
      <c r="E130" s="2">
        <v>46225</v>
      </c>
      <c r="F130" s="2">
        <v>46225</v>
      </c>
      <c r="G130" s="3">
        <v>1</v>
      </c>
      <c r="H130" t="s">
        <v>20</v>
      </c>
      <c r="I130" s="3">
        <v>0</v>
      </c>
      <c r="J130" t="s">
        <v>225</v>
      </c>
      <c r="K130" t="s">
        <v>4</v>
      </c>
      <c r="L130" t="s">
        <v>37</v>
      </c>
      <c r="M130" t="s">
        <v>23</v>
      </c>
      <c r="N130" t="s">
        <v>7</v>
      </c>
      <c r="O130" t="s">
        <v>7</v>
      </c>
      <c r="Q130" t="b">
        <f t="shared" si="15"/>
        <v>1</v>
      </c>
      <c r="R130" t="b">
        <f t="shared" si="16"/>
        <v>1</v>
      </c>
      <c r="S130" t="b">
        <f t="shared" si="17"/>
        <v>1</v>
      </c>
      <c r="T130" t="b">
        <f t="shared" si="18"/>
        <v>1</v>
      </c>
      <c r="U130" t="b">
        <f t="shared" si="19"/>
        <v>1</v>
      </c>
      <c r="V130" t="b">
        <f t="shared" si="20"/>
        <v>1</v>
      </c>
      <c r="W130" t="b">
        <f t="shared" si="21"/>
        <v>1</v>
      </c>
      <c r="X130" t="b">
        <f t="shared" si="22"/>
        <v>1</v>
      </c>
      <c r="Y130" t="b">
        <f t="shared" si="23"/>
        <v>1</v>
      </c>
      <c r="Z130" t="b">
        <f t="shared" si="24"/>
        <v>1</v>
      </c>
      <c r="AA130" t="b">
        <f t="shared" si="25"/>
        <v>1</v>
      </c>
      <c r="AB130" t="b">
        <f t="shared" si="26"/>
        <v>1</v>
      </c>
      <c r="AC130" t="b">
        <f t="shared" si="27"/>
        <v>1</v>
      </c>
      <c r="AD130" t="b">
        <f t="shared" si="28"/>
        <v>1</v>
      </c>
      <c r="AE130" t="b">
        <f t="shared" si="29"/>
        <v>1</v>
      </c>
      <c r="AG130" s="1">
        <v>2728393</v>
      </c>
      <c r="AH130" t="s">
        <v>703</v>
      </c>
      <c r="AI130">
        <v>540</v>
      </c>
      <c r="AJ130" t="s">
        <v>503</v>
      </c>
      <c r="AK130" s="2">
        <v>46225</v>
      </c>
      <c r="AL130" s="2">
        <v>46225</v>
      </c>
      <c r="AM130" s="3">
        <v>1</v>
      </c>
      <c r="AN130" t="s">
        <v>20</v>
      </c>
      <c r="AO130" s="3">
        <v>0</v>
      </c>
      <c r="AP130" t="s">
        <v>704</v>
      </c>
      <c r="AR130" t="s">
        <v>528</v>
      </c>
      <c r="AS130" t="s">
        <v>23</v>
      </c>
    </row>
    <row r="131" spans="1:46" x14ac:dyDescent="0.25">
      <c r="A131" s="1">
        <v>2734493</v>
      </c>
      <c r="B131" t="s">
        <v>226</v>
      </c>
      <c r="C131">
        <v>540</v>
      </c>
      <c r="D131" t="s">
        <v>1</v>
      </c>
      <c r="E131" s="2">
        <v>46225</v>
      </c>
      <c r="F131" s="2">
        <v>46225</v>
      </c>
      <c r="G131" s="3">
        <v>4</v>
      </c>
      <c r="H131" t="s">
        <v>20</v>
      </c>
      <c r="I131" s="3">
        <v>1800</v>
      </c>
      <c r="J131" t="s">
        <v>132</v>
      </c>
      <c r="K131" t="s">
        <v>4</v>
      </c>
      <c r="L131" t="s">
        <v>37</v>
      </c>
      <c r="M131" t="s">
        <v>23</v>
      </c>
      <c r="N131" t="s">
        <v>7</v>
      </c>
      <c r="O131" t="s">
        <v>7</v>
      </c>
      <c r="Q131" t="b">
        <f t="shared" si="15"/>
        <v>1</v>
      </c>
      <c r="R131" t="b">
        <f t="shared" si="16"/>
        <v>1</v>
      </c>
      <c r="S131" t="b">
        <f t="shared" si="17"/>
        <v>1</v>
      </c>
      <c r="T131" t="b">
        <f t="shared" si="18"/>
        <v>1</v>
      </c>
      <c r="U131" t="b">
        <f t="shared" si="19"/>
        <v>1</v>
      </c>
      <c r="V131" t="b">
        <f t="shared" si="20"/>
        <v>1</v>
      </c>
      <c r="W131" t="b">
        <f t="shared" si="21"/>
        <v>1</v>
      </c>
      <c r="X131" t="b">
        <f t="shared" si="22"/>
        <v>1</v>
      </c>
      <c r="Y131" t="b">
        <f t="shared" si="23"/>
        <v>1</v>
      </c>
      <c r="Z131" t="b">
        <f t="shared" si="24"/>
        <v>1</v>
      </c>
      <c r="AA131" t="b">
        <f t="shared" si="25"/>
        <v>1</v>
      </c>
      <c r="AB131" t="b">
        <f t="shared" si="26"/>
        <v>1</v>
      </c>
      <c r="AC131" t="b">
        <f t="shared" si="27"/>
        <v>1</v>
      </c>
      <c r="AD131" t="b">
        <f t="shared" si="28"/>
        <v>1</v>
      </c>
      <c r="AE131" t="b">
        <f t="shared" si="29"/>
        <v>1</v>
      </c>
      <c r="AG131" s="1">
        <v>2734493</v>
      </c>
      <c r="AH131" t="s">
        <v>705</v>
      </c>
      <c r="AI131">
        <v>540</v>
      </c>
      <c r="AJ131" t="s">
        <v>503</v>
      </c>
      <c r="AK131" s="2">
        <v>46225</v>
      </c>
      <c r="AL131" s="2">
        <v>46225</v>
      </c>
      <c r="AM131" s="3">
        <v>4</v>
      </c>
      <c r="AN131" t="s">
        <v>20</v>
      </c>
      <c r="AO131" s="3">
        <v>1800</v>
      </c>
      <c r="AP131" t="s">
        <v>617</v>
      </c>
      <c r="AR131" t="s">
        <v>528</v>
      </c>
      <c r="AS131" t="s">
        <v>23</v>
      </c>
    </row>
    <row r="132" spans="1:46" x14ac:dyDescent="0.25">
      <c r="A132" s="1">
        <v>2734560</v>
      </c>
      <c r="B132" t="s">
        <v>227</v>
      </c>
      <c r="C132">
        <v>540</v>
      </c>
      <c r="D132" t="s">
        <v>1</v>
      </c>
      <c r="E132" s="2">
        <v>46216</v>
      </c>
      <c r="F132" s="2">
        <v>46225</v>
      </c>
      <c r="G132" s="3">
        <v>4</v>
      </c>
      <c r="H132" t="s">
        <v>20</v>
      </c>
      <c r="I132" s="3">
        <v>1800</v>
      </c>
      <c r="J132" t="s">
        <v>228</v>
      </c>
      <c r="K132" t="s">
        <v>4</v>
      </c>
      <c r="L132" t="s">
        <v>37</v>
      </c>
      <c r="M132" t="s">
        <v>23</v>
      </c>
      <c r="N132" t="s">
        <v>7</v>
      </c>
      <c r="O132" t="s">
        <v>7</v>
      </c>
      <c r="Q132" t="b">
        <f t="shared" si="15"/>
        <v>1</v>
      </c>
      <c r="R132" t="b">
        <f t="shared" si="16"/>
        <v>1</v>
      </c>
      <c r="S132" t="b">
        <f t="shared" si="17"/>
        <v>1</v>
      </c>
      <c r="T132" t="b">
        <f t="shared" si="18"/>
        <v>1</v>
      </c>
      <c r="U132" t="b">
        <f t="shared" si="19"/>
        <v>1</v>
      </c>
      <c r="V132" t="b">
        <f t="shared" si="20"/>
        <v>1</v>
      </c>
      <c r="W132" t="b">
        <f t="shared" si="21"/>
        <v>1</v>
      </c>
      <c r="X132" t="b">
        <f t="shared" si="22"/>
        <v>1</v>
      </c>
      <c r="Y132" t="b">
        <f t="shared" si="23"/>
        <v>1</v>
      </c>
      <c r="Z132" t="b">
        <f t="shared" si="24"/>
        <v>1</v>
      </c>
      <c r="AA132" t="b">
        <f t="shared" si="25"/>
        <v>1</v>
      </c>
      <c r="AB132" t="b">
        <f t="shared" si="26"/>
        <v>1</v>
      </c>
      <c r="AC132" t="b">
        <f t="shared" si="27"/>
        <v>1</v>
      </c>
      <c r="AD132" t="b">
        <f t="shared" si="28"/>
        <v>1</v>
      </c>
      <c r="AE132" t="b">
        <f t="shared" si="29"/>
        <v>1</v>
      </c>
      <c r="AG132" s="1">
        <v>2734560</v>
      </c>
      <c r="AH132" t="s">
        <v>706</v>
      </c>
      <c r="AI132">
        <v>540</v>
      </c>
      <c r="AJ132" t="s">
        <v>503</v>
      </c>
      <c r="AK132" s="2">
        <v>46216</v>
      </c>
      <c r="AL132" s="2">
        <v>46225</v>
      </c>
      <c r="AM132" s="3">
        <v>4</v>
      </c>
      <c r="AN132" t="s">
        <v>20</v>
      </c>
      <c r="AO132" s="3">
        <v>1800</v>
      </c>
      <c r="AP132" t="s">
        <v>707</v>
      </c>
      <c r="AR132" t="s">
        <v>528</v>
      </c>
      <c r="AS132" t="s">
        <v>23</v>
      </c>
    </row>
    <row r="133" spans="1:46" x14ac:dyDescent="0.25">
      <c r="A133" s="1">
        <v>2737333</v>
      </c>
      <c r="B133" t="s">
        <v>229</v>
      </c>
      <c r="C133">
        <v>540</v>
      </c>
      <c r="D133" t="s">
        <v>1</v>
      </c>
      <c r="E133" s="2">
        <v>46225</v>
      </c>
      <c r="F133" s="2">
        <v>46225</v>
      </c>
      <c r="G133" s="3">
        <v>1</v>
      </c>
      <c r="H133" t="s">
        <v>11</v>
      </c>
      <c r="I133" s="3">
        <v>2700</v>
      </c>
      <c r="J133" t="s">
        <v>230</v>
      </c>
      <c r="K133" t="s">
        <v>4</v>
      </c>
      <c r="L133" t="s">
        <v>30</v>
      </c>
      <c r="M133" t="s">
        <v>6</v>
      </c>
      <c r="N133" t="s">
        <v>231</v>
      </c>
      <c r="O133" t="s">
        <v>7</v>
      </c>
      <c r="Q133" t="b">
        <f t="shared" si="15"/>
        <v>1</v>
      </c>
      <c r="R133" t="b">
        <f t="shared" si="16"/>
        <v>1</v>
      </c>
      <c r="S133" t="b">
        <f t="shared" si="17"/>
        <v>1</v>
      </c>
      <c r="T133" t="b">
        <f t="shared" si="18"/>
        <v>1</v>
      </c>
      <c r="U133" t="b">
        <f t="shared" si="19"/>
        <v>1</v>
      </c>
      <c r="V133" t="b">
        <f t="shared" si="20"/>
        <v>1</v>
      </c>
      <c r="W133" t="b">
        <f t="shared" si="21"/>
        <v>1</v>
      </c>
      <c r="X133" t="b">
        <f t="shared" si="22"/>
        <v>1</v>
      </c>
      <c r="Y133" t="b">
        <f t="shared" si="23"/>
        <v>1</v>
      </c>
      <c r="Z133" t="b">
        <f t="shared" si="24"/>
        <v>1</v>
      </c>
      <c r="AA133" t="b">
        <f t="shared" si="25"/>
        <v>1</v>
      </c>
      <c r="AB133" t="b">
        <f t="shared" si="26"/>
        <v>1</v>
      </c>
      <c r="AC133" t="b">
        <f t="shared" si="27"/>
        <v>1</v>
      </c>
      <c r="AD133" t="b">
        <f t="shared" si="28"/>
        <v>1</v>
      </c>
      <c r="AE133" t="b">
        <f t="shared" si="29"/>
        <v>1</v>
      </c>
      <c r="AG133" s="1">
        <v>2737333</v>
      </c>
      <c r="AH133" t="s">
        <v>708</v>
      </c>
      <c r="AI133">
        <v>540</v>
      </c>
      <c r="AJ133" t="s">
        <v>503</v>
      </c>
      <c r="AK133" s="2">
        <v>46225</v>
      </c>
      <c r="AL133" s="2">
        <v>46225</v>
      </c>
      <c r="AM133" s="3">
        <v>1</v>
      </c>
      <c r="AN133" t="s">
        <v>11</v>
      </c>
      <c r="AO133" s="3">
        <v>2700</v>
      </c>
      <c r="AP133" t="s">
        <v>709</v>
      </c>
      <c r="AR133" t="s">
        <v>521</v>
      </c>
      <c r="AT133" t="s">
        <v>710</v>
      </c>
    </row>
    <row r="134" spans="1:46" x14ac:dyDescent="0.25">
      <c r="A134" s="1">
        <v>2737512</v>
      </c>
      <c r="B134" t="s">
        <v>232</v>
      </c>
      <c r="C134">
        <v>540</v>
      </c>
      <c r="D134" t="s">
        <v>1</v>
      </c>
      <c r="E134" s="2">
        <v>46217</v>
      </c>
      <c r="F134" s="2">
        <v>46225</v>
      </c>
      <c r="G134" s="3">
        <v>1</v>
      </c>
      <c r="H134" t="s">
        <v>2</v>
      </c>
      <c r="I134" s="3">
        <v>35</v>
      </c>
      <c r="J134" t="s">
        <v>150</v>
      </c>
      <c r="K134" t="s">
        <v>4</v>
      </c>
      <c r="L134" t="s">
        <v>146</v>
      </c>
      <c r="M134" t="s">
        <v>6</v>
      </c>
      <c r="N134" t="s">
        <v>7</v>
      </c>
      <c r="O134" t="s">
        <v>7</v>
      </c>
      <c r="Q134" t="b">
        <f t="shared" si="15"/>
        <v>1</v>
      </c>
      <c r="R134" t="b">
        <f t="shared" si="16"/>
        <v>1</v>
      </c>
      <c r="S134" t="b">
        <f t="shared" si="17"/>
        <v>1</v>
      </c>
      <c r="T134" t="b">
        <f t="shared" si="18"/>
        <v>1</v>
      </c>
      <c r="U134" t="b">
        <f t="shared" si="19"/>
        <v>1</v>
      </c>
      <c r="V134" t="b">
        <f t="shared" si="20"/>
        <v>1</v>
      </c>
      <c r="W134" t="b">
        <f t="shared" si="21"/>
        <v>1</v>
      </c>
      <c r="X134" t="b">
        <f t="shared" si="22"/>
        <v>1</v>
      </c>
      <c r="Y134" t="b">
        <f t="shared" si="23"/>
        <v>1</v>
      </c>
      <c r="Z134" t="b">
        <f t="shared" si="24"/>
        <v>1</v>
      </c>
      <c r="AA134" t="b">
        <f t="shared" si="25"/>
        <v>1</v>
      </c>
      <c r="AB134" t="b">
        <f t="shared" si="26"/>
        <v>1</v>
      </c>
      <c r="AC134" t="b">
        <f t="shared" si="27"/>
        <v>1</v>
      </c>
      <c r="AD134" t="b">
        <f t="shared" si="28"/>
        <v>1</v>
      </c>
      <c r="AE134" t="b">
        <f t="shared" si="29"/>
        <v>1</v>
      </c>
      <c r="AG134" s="1">
        <v>2737512</v>
      </c>
      <c r="AH134" t="s">
        <v>711</v>
      </c>
      <c r="AI134">
        <v>540</v>
      </c>
      <c r="AJ134" t="s">
        <v>503</v>
      </c>
      <c r="AK134" s="2">
        <v>46217</v>
      </c>
      <c r="AL134" s="2">
        <v>46225</v>
      </c>
      <c r="AM134" s="3">
        <v>1</v>
      </c>
      <c r="AN134" t="s">
        <v>2</v>
      </c>
      <c r="AO134" s="3">
        <v>35</v>
      </c>
      <c r="AP134" t="s">
        <v>634</v>
      </c>
      <c r="AR134" t="s">
        <v>631</v>
      </c>
    </row>
    <row r="135" spans="1:46" x14ac:dyDescent="0.25">
      <c r="A135" s="1">
        <v>2737512</v>
      </c>
      <c r="B135" t="s">
        <v>232</v>
      </c>
      <c r="C135">
        <v>540</v>
      </c>
      <c r="D135" t="s">
        <v>1</v>
      </c>
      <c r="E135" s="2">
        <v>46217</v>
      </c>
      <c r="F135" s="2">
        <v>46225</v>
      </c>
      <c r="G135" s="3">
        <v>1</v>
      </c>
      <c r="H135" t="s">
        <v>2</v>
      </c>
      <c r="I135" s="3">
        <v>40</v>
      </c>
      <c r="J135" t="s">
        <v>233</v>
      </c>
      <c r="K135" t="s">
        <v>4</v>
      </c>
      <c r="L135" t="s">
        <v>146</v>
      </c>
      <c r="M135" t="s">
        <v>6</v>
      </c>
      <c r="N135" t="s">
        <v>7</v>
      </c>
      <c r="O135" t="s">
        <v>7</v>
      </c>
      <c r="Q135" t="b">
        <f t="shared" si="15"/>
        <v>1</v>
      </c>
      <c r="R135" t="b">
        <f t="shared" si="16"/>
        <v>1</v>
      </c>
      <c r="S135" t="b">
        <f t="shared" si="17"/>
        <v>1</v>
      </c>
      <c r="T135" t="b">
        <f t="shared" si="18"/>
        <v>1</v>
      </c>
      <c r="U135" t="b">
        <f t="shared" si="19"/>
        <v>1</v>
      </c>
      <c r="V135" t="b">
        <f t="shared" si="20"/>
        <v>1</v>
      </c>
      <c r="W135" t="b">
        <f t="shared" si="21"/>
        <v>1</v>
      </c>
      <c r="X135" t="b">
        <f t="shared" si="22"/>
        <v>1</v>
      </c>
      <c r="Y135" t="b">
        <f t="shared" si="23"/>
        <v>1</v>
      </c>
      <c r="Z135" t="b">
        <f t="shared" si="24"/>
        <v>1</v>
      </c>
      <c r="AA135" t="b">
        <f t="shared" si="25"/>
        <v>1</v>
      </c>
      <c r="AB135" t="b">
        <f t="shared" si="26"/>
        <v>1</v>
      </c>
      <c r="AC135" t="b">
        <f t="shared" si="27"/>
        <v>1</v>
      </c>
      <c r="AD135" t="b">
        <f t="shared" si="28"/>
        <v>1</v>
      </c>
      <c r="AE135" t="b">
        <f t="shared" si="29"/>
        <v>1</v>
      </c>
      <c r="AG135" s="1">
        <v>2737512</v>
      </c>
      <c r="AH135" t="s">
        <v>711</v>
      </c>
      <c r="AI135">
        <v>540</v>
      </c>
      <c r="AJ135" t="s">
        <v>503</v>
      </c>
      <c r="AK135" s="2">
        <v>46217</v>
      </c>
      <c r="AL135" s="2">
        <v>46225</v>
      </c>
      <c r="AM135" s="3">
        <v>1</v>
      </c>
      <c r="AN135" t="s">
        <v>2</v>
      </c>
      <c r="AO135" s="3">
        <v>40</v>
      </c>
      <c r="AP135" t="s">
        <v>712</v>
      </c>
      <c r="AR135" t="s">
        <v>631</v>
      </c>
    </row>
    <row r="136" spans="1:46" x14ac:dyDescent="0.25">
      <c r="A136" s="1">
        <v>2737512</v>
      </c>
      <c r="B136" t="s">
        <v>232</v>
      </c>
      <c r="C136">
        <v>540</v>
      </c>
      <c r="D136" t="s">
        <v>1</v>
      </c>
      <c r="E136" s="2">
        <v>46217</v>
      </c>
      <c r="F136" s="2">
        <v>46225</v>
      </c>
      <c r="G136" s="3">
        <v>1</v>
      </c>
      <c r="H136" t="s">
        <v>2</v>
      </c>
      <c r="I136" s="3">
        <v>40</v>
      </c>
      <c r="J136" t="s">
        <v>209</v>
      </c>
      <c r="K136" t="s">
        <v>4</v>
      </c>
      <c r="L136" t="s">
        <v>146</v>
      </c>
      <c r="M136" t="s">
        <v>6</v>
      </c>
      <c r="N136" t="s">
        <v>7</v>
      </c>
      <c r="O136" t="s">
        <v>7</v>
      </c>
      <c r="Q136" t="b">
        <f t="shared" si="15"/>
        <v>1</v>
      </c>
      <c r="R136" t="b">
        <f t="shared" si="16"/>
        <v>1</v>
      </c>
      <c r="S136" t="b">
        <f t="shared" si="17"/>
        <v>1</v>
      </c>
      <c r="T136" t="b">
        <f t="shared" si="18"/>
        <v>1</v>
      </c>
      <c r="U136" t="b">
        <f t="shared" si="19"/>
        <v>1</v>
      </c>
      <c r="V136" t="b">
        <f t="shared" si="20"/>
        <v>1</v>
      </c>
      <c r="W136" t="b">
        <f t="shared" si="21"/>
        <v>1</v>
      </c>
      <c r="X136" t="b">
        <f t="shared" si="22"/>
        <v>1</v>
      </c>
      <c r="Y136" t="b">
        <f t="shared" si="23"/>
        <v>1</v>
      </c>
      <c r="Z136" t="b">
        <f t="shared" si="24"/>
        <v>1</v>
      </c>
      <c r="AA136" t="b">
        <f t="shared" si="25"/>
        <v>1</v>
      </c>
      <c r="AB136" t="b">
        <f t="shared" si="26"/>
        <v>1</v>
      </c>
      <c r="AC136" t="b">
        <f t="shared" si="27"/>
        <v>1</v>
      </c>
      <c r="AD136" t="b">
        <f t="shared" si="28"/>
        <v>1</v>
      </c>
      <c r="AE136" t="b">
        <f t="shared" si="29"/>
        <v>1</v>
      </c>
      <c r="AG136" s="1">
        <v>2737512</v>
      </c>
      <c r="AH136" t="s">
        <v>711</v>
      </c>
      <c r="AI136">
        <v>540</v>
      </c>
      <c r="AJ136" t="s">
        <v>503</v>
      </c>
      <c r="AK136" s="2">
        <v>46217</v>
      </c>
      <c r="AL136" s="2">
        <v>46225</v>
      </c>
      <c r="AM136" s="3">
        <v>1</v>
      </c>
      <c r="AN136" t="s">
        <v>2</v>
      </c>
      <c r="AO136" s="3">
        <v>40</v>
      </c>
      <c r="AP136" t="s">
        <v>690</v>
      </c>
      <c r="AR136" t="s">
        <v>631</v>
      </c>
    </row>
    <row r="137" spans="1:46" x14ac:dyDescent="0.25">
      <c r="A137" s="1">
        <v>2740478</v>
      </c>
      <c r="B137" t="s">
        <v>234</v>
      </c>
      <c r="C137">
        <v>540</v>
      </c>
      <c r="D137" t="s">
        <v>1</v>
      </c>
      <c r="E137" s="2">
        <v>46225</v>
      </c>
      <c r="F137" s="2">
        <v>46225</v>
      </c>
      <c r="G137" s="3">
        <v>15</v>
      </c>
      <c r="H137" t="s">
        <v>11</v>
      </c>
      <c r="I137" s="3">
        <v>40500</v>
      </c>
      <c r="J137" t="s">
        <v>235</v>
      </c>
      <c r="K137" t="s">
        <v>4</v>
      </c>
      <c r="L137" t="s">
        <v>22</v>
      </c>
      <c r="M137" t="s">
        <v>23</v>
      </c>
      <c r="N137" t="s">
        <v>236</v>
      </c>
      <c r="O137" t="s">
        <v>7</v>
      </c>
      <c r="Q137" t="b">
        <f t="shared" si="15"/>
        <v>1</v>
      </c>
      <c r="R137" t="b">
        <f t="shared" si="16"/>
        <v>1</v>
      </c>
      <c r="S137" t="b">
        <f t="shared" si="17"/>
        <v>1</v>
      </c>
      <c r="T137" t="b">
        <f t="shared" si="18"/>
        <v>1</v>
      </c>
      <c r="U137" t="b">
        <f t="shared" si="19"/>
        <v>1</v>
      </c>
      <c r="V137" t="b">
        <f t="shared" si="20"/>
        <v>1</v>
      </c>
      <c r="W137" t="b">
        <f t="shared" si="21"/>
        <v>1</v>
      </c>
      <c r="X137" t="b">
        <f t="shared" si="22"/>
        <v>1</v>
      </c>
      <c r="Y137" t="b">
        <f t="shared" si="23"/>
        <v>1</v>
      </c>
      <c r="Z137" t="b">
        <f t="shared" si="24"/>
        <v>1</v>
      </c>
      <c r="AA137" t="b">
        <f t="shared" si="25"/>
        <v>1</v>
      </c>
      <c r="AB137" t="b">
        <f t="shared" si="26"/>
        <v>1</v>
      </c>
      <c r="AC137" t="b">
        <f t="shared" si="27"/>
        <v>1</v>
      </c>
      <c r="AD137" t="b">
        <f t="shared" si="28"/>
        <v>1</v>
      </c>
      <c r="AE137" t="b">
        <f t="shared" si="29"/>
        <v>1</v>
      </c>
      <c r="AG137" s="1">
        <v>2740478</v>
      </c>
      <c r="AH137" t="s">
        <v>713</v>
      </c>
      <c r="AI137">
        <v>540</v>
      </c>
      <c r="AJ137" t="s">
        <v>503</v>
      </c>
      <c r="AK137" s="2">
        <v>46225</v>
      </c>
      <c r="AL137" s="2">
        <v>46225</v>
      </c>
      <c r="AM137" s="3">
        <v>15</v>
      </c>
      <c r="AN137" t="s">
        <v>11</v>
      </c>
      <c r="AO137" s="3">
        <v>40500</v>
      </c>
      <c r="AP137" t="s">
        <v>714</v>
      </c>
      <c r="AR137" t="s">
        <v>516</v>
      </c>
      <c r="AS137" t="s">
        <v>23</v>
      </c>
      <c r="AT137" t="s">
        <v>715</v>
      </c>
    </row>
    <row r="138" spans="1:46" x14ac:dyDescent="0.25">
      <c r="A138" s="1">
        <v>2742609</v>
      </c>
      <c r="B138" t="s">
        <v>237</v>
      </c>
      <c r="C138">
        <v>540</v>
      </c>
      <c r="D138" t="s">
        <v>1</v>
      </c>
      <c r="E138" s="2">
        <v>46225</v>
      </c>
      <c r="F138" s="2">
        <v>46225</v>
      </c>
      <c r="G138" s="3">
        <v>4</v>
      </c>
      <c r="H138" t="s">
        <v>20</v>
      </c>
      <c r="I138" s="3">
        <v>1900</v>
      </c>
      <c r="J138" t="s">
        <v>205</v>
      </c>
      <c r="K138" t="s">
        <v>4</v>
      </c>
      <c r="L138" t="s">
        <v>37</v>
      </c>
      <c r="M138" t="s">
        <v>23</v>
      </c>
      <c r="N138" t="s">
        <v>7</v>
      </c>
      <c r="O138" t="s">
        <v>7</v>
      </c>
      <c r="Q138" t="b">
        <f t="shared" ref="Q138:Q201" si="30">IFERROR(ABS(A138-AG138)&lt;=0.001,EXACT(A138&amp;"",AG138&amp;""))</f>
        <v>1</v>
      </c>
      <c r="R138" t="b">
        <f t="shared" ref="R138:R201" si="31">EXACT(TRIM(B138&amp;""),TRIM(AH138&amp;""))</f>
        <v>1</v>
      </c>
      <c r="S138" t="b">
        <f t="shared" ref="S138:S201" si="32">EXACT(TRIM(C138&amp;""),TRIM(AI138&amp;""))</f>
        <v>1</v>
      </c>
      <c r="T138" t="b">
        <f t="shared" ref="T138:T201" si="33">EXACT(TRIM(D138&amp;""),TRIM(AJ138&amp;""))</f>
        <v>1</v>
      </c>
      <c r="U138" t="b">
        <f t="shared" ref="U138:U201" si="34">IFERROR(INT(E138)=INT(AK138),EXACT(E138&amp;"",AK138&amp;""))</f>
        <v>1</v>
      </c>
      <c r="V138" t="b">
        <f t="shared" ref="V138:V201" si="35">IFERROR(INT(F138)=INT(AL138),EXACT(F138&amp;"",AL138&amp;""))</f>
        <v>1</v>
      </c>
      <c r="W138" t="b">
        <f t="shared" ref="W138:W201" si="36">IFERROR(ROUND(G138,0)=ROUND(AM138,0),EXACT(G138&amp;"",AM138&amp;""))</f>
        <v>1</v>
      </c>
      <c r="X138" t="b">
        <f t="shared" ref="X138:X201" si="37">EXACT(TRIM(H138&amp;""),TRIM(AN138&amp;""))</f>
        <v>1</v>
      </c>
      <c r="Y138" t="b">
        <f t="shared" ref="Y138:Y201" si="38">IFERROR(ROUND(I138,0)=ROUND(AO138,0),EXACT(I138&amp;"",AO138&amp;""))</f>
        <v>1</v>
      </c>
      <c r="Z138" t="b">
        <f t="shared" ref="Z138:Z201" si="39">EXACT(TRIM(J138&amp;""),TRIM(AP138&amp;""))</f>
        <v>1</v>
      </c>
      <c r="AA138" t="b">
        <f t="shared" ref="AA138:AA201" si="40">EXACT(TRIM(K138&amp;""),TRIM(AQ138&amp;""))</f>
        <v>1</v>
      </c>
      <c r="AB138" t="b">
        <f t="shared" ref="AB138:AB201" si="41">EXACT(TRIM(L138&amp;""),TRIM(AR138&amp;""))</f>
        <v>1</v>
      </c>
      <c r="AC138" t="b">
        <f t="shared" ref="AC138:AC201" si="42">EXACT(TRIM(M138&amp;""),TRIM(AS138&amp;""))</f>
        <v>1</v>
      </c>
      <c r="AD138" t="b">
        <f t="shared" ref="AD138:AD201" si="43">EXACT(TRIM(N138&amp;""),TRIM(AT138&amp;""))</f>
        <v>1</v>
      </c>
      <c r="AE138" t="b">
        <f t="shared" ref="AE138:AE201" si="44">EXACT(TRIM(O138&amp;""),TRIM(AU138&amp;""))</f>
        <v>1</v>
      </c>
      <c r="AG138" s="1">
        <v>2742609</v>
      </c>
      <c r="AH138" t="s">
        <v>237</v>
      </c>
      <c r="AI138">
        <v>540</v>
      </c>
      <c r="AJ138" t="s">
        <v>503</v>
      </c>
      <c r="AK138" s="2">
        <v>46225</v>
      </c>
      <c r="AL138" s="2">
        <v>46225</v>
      </c>
      <c r="AM138" s="3">
        <v>4</v>
      </c>
      <c r="AN138" t="s">
        <v>20</v>
      </c>
      <c r="AO138" s="3">
        <v>1900</v>
      </c>
      <c r="AP138" t="s">
        <v>686</v>
      </c>
      <c r="AR138" t="s">
        <v>528</v>
      </c>
      <c r="AS138" t="s">
        <v>23</v>
      </c>
    </row>
    <row r="139" spans="1:46" x14ac:dyDescent="0.25">
      <c r="A139" s="1">
        <v>2742627</v>
      </c>
      <c r="B139" t="s">
        <v>238</v>
      </c>
      <c r="C139">
        <v>540</v>
      </c>
      <c r="D139" t="s">
        <v>1</v>
      </c>
      <c r="E139" s="2">
        <v>46220</v>
      </c>
      <c r="F139" s="2">
        <v>46225</v>
      </c>
      <c r="G139" s="3">
        <v>1</v>
      </c>
      <c r="H139" t="s">
        <v>2</v>
      </c>
      <c r="I139" s="3">
        <v>40</v>
      </c>
      <c r="J139" t="s">
        <v>239</v>
      </c>
      <c r="K139" t="s">
        <v>4</v>
      </c>
      <c r="L139" t="s">
        <v>146</v>
      </c>
      <c r="M139" t="s">
        <v>6</v>
      </c>
      <c r="N139" t="s">
        <v>7</v>
      </c>
      <c r="O139" t="s">
        <v>7</v>
      </c>
      <c r="Q139" t="b">
        <f t="shared" si="30"/>
        <v>1</v>
      </c>
      <c r="R139" t="b">
        <f t="shared" si="31"/>
        <v>1</v>
      </c>
      <c r="S139" t="b">
        <f t="shared" si="32"/>
        <v>1</v>
      </c>
      <c r="T139" t="b">
        <f t="shared" si="33"/>
        <v>1</v>
      </c>
      <c r="U139" t="b">
        <f t="shared" si="34"/>
        <v>1</v>
      </c>
      <c r="V139" t="b">
        <f t="shared" si="35"/>
        <v>1</v>
      </c>
      <c r="W139" t="b">
        <f t="shared" si="36"/>
        <v>1</v>
      </c>
      <c r="X139" t="b">
        <f t="shared" si="37"/>
        <v>1</v>
      </c>
      <c r="Y139" t="b">
        <f t="shared" si="38"/>
        <v>1</v>
      </c>
      <c r="Z139" t="b">
        <f t="shared" si="39"/>
        <v>1</v>
      </c>
      <c r="AA139" t="b">
        <f t="shared" si="40"/>
        <v>1</v>
      </c>
      <c r="AB139" t="b">
        <f t="shared" si="41"/>
        <v>1</v>
      </c>
      <c r="AC139" t="b">
        <f t="shared" si="42"/>
        <v>1</v>
      </c>
      <c r="AD139" t="b">
        <f t="shared" si="43"/>
        <v>1</v>
      </c>
      <c r="AE139" t="b">
        <f t="shared" si="44"/>
        <v>1</v>
      </c>
      <c r="AG139" s="1">
        <v>2742627</v>
      </c>
      <c r="AH139" t="s">
        <v>716</v>
      </c>
      <c r="AI139">
        <v>540</v>
      </c>
      <c r="AJ139" t="s">
        <v>503</v>
      </c>
      <c r="AK139" s="2">
        <v>46220</v>
      </c>
      <c r="AL139" s="2">
        <v>46225</v>
      </c>
      <c r="AM139" s="3">
        <v>1</v>
      </c>
      <c r="AN139" t="s">
        <v>2</v>
      </c>
      <c r="AO139" s="3">
        <v>40</v>
      </c>
      <c r="AP139" t="s">
        <v>717</v>
      </c>
      <c r="AR139" t="s">
        <v>631</v>
      </c>
    </row>
    <row r="140" spans="1:46" x14ac:dyDescent="0.25">
      <c r="A140" s="1">
        <v>2742712</v>
      </c>
      <c r="B140" t="s">
        <v>240</v>
      </c>
      <c r="C140">
        <v>540</v>
      </c>
      <c r="D140" t="s">
        <v>1</v>
      </c>
      <c r="E140" s="2">
        <v>46218</v>
      </c>
      <c r="F140" s="2">
        <v>46225</v>
      </c>
      <c r="G140" s="3">
        <v>1</v>
      </c>
      <c r="H140" t="s">
        <v>11</v>
      </c>
      <c r="I140" s="3">
        <v>2900</v>
      </c>
      <c r="J140" t="s">
        <v>241</v>
      </c>
      <c r="K140" t="s">
        <v>4</v>
      </c>
      <c r="L140" t="s">
        <v>37</v>
      </c>
      <c r="M140" t="s">
        <v>23</v>
      </c>
      <c r="N140" t="s">
        <v>7</v>
      </c>
      <c r="O140" t="s">
        <v>7</v>
      </c>
      <c r="Q140" t="b">
        <f t="shared" si="30"/>
        <v>1</v>
      </c>
      <c r="R140" t="b">
        <f t="shared" si="31"/>
        <v>1</v>
      </c>
      <c r="S140" t="b">
        <f t="shared" si="32"/>
        <v>1</v>
      </c>
      <c r="T140" t="b">
        <f t="shared" si="33"/>
        <v>1</v>
      </c>
      <c r="U140" t="b">
        <f t="shared" si="34"/>
        <v>1</v>
      </c>
      <c r="V140" t="b">
        <f t="shared" si="35"/>
        <v>1</v>
      </c>
      <c r="W140" t="b">
        <f t="shared" si="36"/>
        <v>1</v>
      </c>
      <c r="X140" t="b">
        <f t="shared" si="37"/>
        <v>1</v>
      </c>
      <c r="Y140" t="b">
        <f t="shared" si="38"/>
        <v>1</v>
      </c>
      <c r="Z140" t="b">
        <f t="shared" si="39"/>
        <v>1</v>
      </c>
      <c r="AA140" t="b">
        <f t="shared" si="40"/>
        <v>1</v>
      </c>
      <c r="AB140" t="b">
        <f t="shared" si="41"/>
        <v>1</v>
      </c>
      <c r="AC140" t="b">
        <f t="shared" si="42"/>
        <v>1</v>
      </c>
      <c r="AD140" t="b">
        <f t="shared" si="43"/>
        <v>1</v>
      </c>
      <c r="AE140" t="b">
        <f t="shared" si="44"/>
        <v>1</v>
      </c>
      <c r="AG140" s="1">
        <v>2742712</v>
      </c>
      <c r="AH140" t="s">
        <v>718</v>
      </c>
      <c r="AI140">
        <v>540</v>
      </c>
      <c r="AJ140" t="s">
        <v>503</v>
      </c>
      <c r="AK140" s="2">
        <v>46218</v>
      </c>
      <c r="AL140" s="2">
        <v>46225</v>
      </c>
      <c r="AM140" s="3">
        <v>1</v>
      </c>
      <c r="AN140" t="s">
        <v>11</v>
      </c>
      <c r="AO140" s="3">
        <v>2900</v>
      </c>
      <c r="AP140" t="s">
        <v>719</v>
      </c>
      <c r="AR140" t="s">
        <v>528</v>
      </c>
      <c r="AS140" t="s">
        <v>23</v>
      </c>
    </row>
    <row r="141" spans="1:46" x14ac:dyDescent="0.25">
      <c r="A141" s="1">
        <v>2742758</v>
      </c>
      <c r="B141" t="s">
        <v>242</v>
      </c>
      <c r="C141">
        <v>540</v>
      </c>
      <c r="D141" t="s">
        <v>1</v>
      </c>
      <c r="E141" s="2">
        <v>46225</v>
      </c>
      <c r="F141" s="2">
        <v>46225</v>
      </c>
      <c r="G141" s="3">
        <v>8</v>
      </c>
      <c r="H141" t="s">
        <v>20</v>
      </c>
      <c r="I141" s="3">
        <v>3800</v>
      </c>
      <c r="J141" t="s">
        <v>243</v>
      </c>
      <c r="K141" t="s">
        <v>4</v>
      </c>
      <c r="L141" t="s">
        <v>108</v>
      </c>
      <c r="M141" t="s">
        <v>6</v>
      </c>
      <c r="N141" t="s">
        <v>244</v>
      </c>
      <c r="O141" t="s">
        <v>7</v>
      </c>
      <c r="Q141" t="b">
        <f t="shared" si="30"/>
        <v>1</v>
      </c>
      <c r="R141" t="b">
        <f t="shared" si="31"/>
        <v>1</v>
      </c>
      <c r="S141" t="b">
        <f t="shared" si="32"/>
        <v>1</v>
      </c>
      <c r="T141" t="b">
        <f t="shared" si="33"/>
        <v>1</v>
      </c>
      <c r="U141" t="b">
        <f t="shared" si="34"/>
        <v>1</v>
      </c>
      <c r="V141" t="b">
        <f t="shared" si="35"/>
        <v>1</v>
      </c>
      <c r="W141" t="b">
        <f t="shared" si="36"/>
        <v>1</v>
      </c>
      <c r="X141" t="b">
        <f t="shared" si="37"/>
        <v>1</v>
      </c>
      <c r="Y141" t="b">
        <f t="shared" si="38"/>
        <v>1</v>
      </c>
      <c r="Z141" t="b">
        <f t="shared" si="39"/>
        <v>1</v>
      </c>
      <c r="AA141" t="b">
        <f t="shared" si="40"/>
        <v>1</v>
      </c>
      <c r="AB141" t="b">
        <f t="shared" si="41"/>
        <v>1</v>
      </c>
      <c r="AC141" t="b">
        <f t="shared" si="42"/>
        <v>1</v>
      </c>
      <c r="AD141" t="b">
        <f t="shared" si="43"/>
        <v>1</v>
      </c>
      <c r="AE141" t="b">
        <f t="shared" si="44"/>
        <v>1</v>
      </c>
      <c r="AG141" s="1">
        <v>2742758</v>
      </c>
      <c r="AH141" t="s">
        <v>720</v>
      </c>
      <c r="AI141">
        <v>540</v>
      </c>
      <c r="AJ141" t="s">
        <v>503</v>
      </c>
      <c r="AK141" s="2">
        <v>46225</v>
      </c>
      <c r="AL141" s="2">
        <v>46225</v>
      </c>
      <c r="AM141" s="3">
        <v>8</v>
      </c>
      <c r="AN141" t="s">
        <v>20</v>
      </c>
      <c r="AO141" s="3">
        <v>3800</v>
      </c>
      <c r="AP141" t="s">
        <v>721</v>
      </c>
      <c r="AR141" t="s">
        <v>595</v>
      </c>
      <c r="AT141" t="s">
        <v>722</v>
      </c>
    </row>
    <row r="142" spans="1:46" x14ac:dyDescent="0.25">
      <c r="A142" s="1">
        <v>2743421</v>
      </c>
      <c r="B142" t="s">
        <v>57</v>
      </c>
      <c r="C142">
        <v>530</v>
      </c>
      <c r="D142" t="s">
        <v>1</v>
      </c>
      <c r="E142" s="2">
        <v>46218</v>
      </c>
      <c r="F142" s="2">
        <v>46225</v>
      </c>
      <c r="G142" s="3">
        <v>32</v>
      </c>
      <c r="H142" t="s">
        <v>149</v>
      </c>
      <c r="I142" s="3">
        <v>32</v>
      </c>
      <c r="J142" t="s">
        <v>245</v>
      </c>
      <c r="K142" t="s">
        <v>4</v>
      </c>
      <c r="L142" t="s">
        <v>246</v>
      </c>
      <c r="M142" t="s">
        <v>6</v>
      </c>
      <c r="N142" t="s">
        <v>60</v>
      </c>
      <c r="O142" t="s">
        <v>7</v>
      </c>
      <c r="Q142" t="b">
        <f t="shared" si="30"/>
        <v>1</v>
      </c>
      <c r="R142" t="b">
        <f t="shared" si="31"/>
        <v>1</v>
      </c>
      <c r="S142" t="b">
        <f t="shared" si="32"/>
        <v>1</v>
      </c>
      <c r="T142" t="b">
        <f t="shared" si="33"/>
        <v>1</v>
      </c>
      <c r="U142" t="b">
        <f t="shared" si="34"/>
        <v>1</v>
      </c>
      <c r="V142" t="b">
        <f t="shared" si="35"/>
        <v>1</v>
      </c>
      <c r="W142" t="b">
        <f t="shared" si="36"/>
        <v>1</v>
      </c>
      <c r="X142" t="b">
        <f t="shared" si="37"/>
        <v>1</v>
      </c>
      <c r="Y142" t="b">
        <f t="shared" si="38"/>
        <v>1</v>
      </c>
      <c r="Z142" t="b">
        <f t="shared" si="39"/>
        <v>1</v>
      </c>
      <c r="AA142" t="b">
        <f t="shared" si="40"/>
        <v>1</v>
      </c>
      <c r="AB142" t="b">
        <f t="shared" si="41"/>
        <v>1</v>
      </c>
      <c r="AC142" t="b">
        <f t="shared" si="42"/>
        <v>1</v>
      </c>
      <c r="AD142" t="b">
        <f t="shared" si="43"/>
        <v>1</v>
      </c>
      <c r="AE142" t="b">
        <f t="shared" si="44"/>
        <v>1</v>
      </c>
      <c r="AG142" s="1">
        <v>2743421</v>
      </c>
      <c r="AH142" t="s">
        <v>545</v>
      </c>
      <c r="AI142">
        <v>530</v>
      </c>
      <c r="AJ142" t="s">
        <v>503</v>
      </c>
      <c r="AK142" s="2">
        <v>46218</v>
      </c>
      <c r="AL142" s="2">
        <v>46225</v>
      </c>
      <c r="AM142" s="3">
        <v>32</v>
      </c>
      <c r="AN142" t="s">
        <v>149</v>
      </c>
      <c r="AO142" s="3">
        <v>32</v>
      </c>
      <c r="AP142" t="s">
        <v>723</v>
      </c>
      <c r="AR142" t="s">
        <v>724</v>
      </c>
      <c r="AT142" t="s">
        <v>548</v>
      </c>
    </row>
    <row r="143" spans="1:46" x14ac:dyDescent="0.25">
      <c r="A143" s="1">
        <v>2743585</v>
      </c>
      <c r="B143" t="s">
        <v>247</v>
      </c>
      <c r="C143">
        <v>530</v>
      </c>
      <c r="D143" t="s">
        <v>1</v>
      </c>
      <c r="E143" s="2">
        <v>46225</v>
      </c>
      <c r="F143" s="2">
        <v>46225</v>
      </c>
      <c r="G143" s="3">
        <v>1</v>
      </c>
      <c r="H143" t="s">
        <v>20</v>
      </c>
      <c r="I143" s="3">
        <v>450</v>
      </c>
      <c r="J143" t="s">
        <v>115</v>
      </c>
      <c r="K143" t="s">
        <v>4</v>
      </c>
      <c r="L143" t="s">
        <v>37</v>
      </c>
      <c r="M143" t="s">
        <v>6</v>
      </c>
      <c r="N143" t="s">
        <v>7</v>
      </c>
      <c r="O143" t="s">
        <v>7</v>
      </c>
      <c r="Q143" t="b">
        <f t="shared" si="30"/>
        <v>1</v>
      </c>
      <c r="R143" t="b">
        <f t="shared" si="31"/>
        <v>1</v>
      </c>
      <c r="S143" t="b">
        <f t="shared" si="32"/>
        <v>1</v>
      </c>
      <c r="T143" t="b">
        <f t="shared" si="33"/>
        <v>1</v>
      </c>
      <c r="U143" t="b">
        <f t="shared" si="34"/>
        <v>1</v>
      </c>
      <c r="V143" t="b">
        <f t="shared" si="35"/>
        <v>1</v>
      </c>
      <c r="W143" t="b">
        <f t="shared" si="36"/>
        <v>1</v>
      </c>
      <c r="X143" t="b">
        <f t="shared" si="37"/>
        <v>1</v>
      </c>
      <c r="Y143" t="b">
        <f t="shared" si="38"/>
        <v>1</v>
      </c>
      <c r="Z143" t="b">
        <f t="shared" si="39"/>
        <v>1</v>
      </c>
      <c r="AA143" t="b">
        <f t="shared" si="40"/>
        <v>1</v>
      </c>
      <c r="AB143" t="b">
        <f t="shared" si="41"/>
        <v>1</v>
      </c>
      <c r="AC143" t="b">
        <f t="shared" si="42"/>
        <v>1</v>
      </c>
      <c r="AD143" t="b">
        <f t="shared" si="43"/>
        <v>1</v>
      </c>
      <c r="AE143" t="b">
        <f t="shared" si="44"/>
        <v>1</v>
      </c>
      <c r="AG143" s="1">
        <v>2743585</v>
      </c>
      <c r="AH143" t="s">
        <v>725</v>
      </c>
      <c r="AI143">
        <v>530</v>
      </c>
      <c r="AJ143" t="s">
        <v>503</v>
      </c>
      <c r="AK143" s="2">
        <v>46225</v>
      </c>
      <c r="AL143" s="2">
        <v>46225</v>
      </c>
      <c r="AM143" s="3">
        <v>1</v>
      </c>
      <c r="AN143" t="s">
        <v>20</v>
      </c>
      <c r="AO143" s="3">
        <v>450</v>
      </c>
      <c r="AP143" t="s">
        <v>601</v>
      </c>
      <c r="AR143" t="s">
        <v>528</v>
      </c>
    </row>
    <row r="144" spans="1:46" x14ac:dyDescent="0.25">
      <c r="A144" s="1">
        <v>2569171</v>
      </c>
      <c r="B144" t="s">
        <v>19</v>
      </c>
      <c r="C144">
        <v>540</v>
      </c>
      <c r="D144" t="s">
        <v>1</v>
      </c>
      <c r="E144" s="2">
        <v>46226</v>
      </c>
      <c r="F144" s="2">
        <v>46226</v>
      </c>
      <c r="G144" s="3">
        <v>80</v>
      </c>
      <c r="H144" t="s">
        <v>20</v>
      </c>
      <c r="I144" s="3">
        <v>36000</v>
      </c>
      <c r="J144" t="s">
        <v>21</v>
      </c>
      <c r="K144" t="s">
        <v>4</v>
      </c>
      <c r="L144" t="s">
        <v>22</v>
      </c>
      <c r="M144" t="s">
        <v>23</v>
      </c>
      <c r="N144" t="s">
        <v>7</v>
      </c>
      <c r="O144" t="s">
        <v>7</v>
      </c>
      <c r="Q144" t="b">
        <f t="shared" si="30"/>
        <v>1</v>
      </c>
      <c r="R144" t="b">
        <f t="shared" si="31"/>
        <v>1</v>
      </c>
      <c r="S144" t="b">
        <f t="shared" si="32"/>
        <v>1</v>
      </c>
      <c r="T144" t="b">
        <f t="shared" si="33"/>
        <v>1</v>
      </c>
      <c r="U144" t="b">
        <f t="shared" si="34"/>
        <v>1</v>
      </c>
      <c r="V144" t="b">
        <f t="shared" si="35"/>
        <v>1</v>
      </c>
      <c r="W144" t="b">
        <f t="shared" si="36"/>
        <v>1</v>
      </c>
      <c r="X144" t="b">
        <f t="shared" si="37"/>
        <v>1</v>
      </c>
      <c r="Y144" t="b">
        <f t="shared" si="38"/>
        <v>1</v>
      </c>
      <c r="Z144" t="b">
        <f t="shared" si="39"/>
        <v>1</v>
      </c>
      <c r="AA144" t="b">
        <f t="shared" si="40"/>
        <v>1</v>
      </c>
      <c r="AB144" t="b">
        <f t="shared" si="41"/>
        <v>1</v>
      </c>
      <c r="AC144" t="b">
        <f t="shared" si="42"/>
        <v>1</v>
      </c>
      <c r="AD144" t="b">
        <f t="shared" si="43"/>
        <v>1</v>
      </c>
      <c r="AE144" t="b">
        <f t="shared" si="44"/>
        <v>1</v>
      </c>
      <c r="AG144" s="1">
        <v>2569171</v>
      </c>
      <c r="AH144" t="s">
        <v>514</v>
      </c>
      <c r="AI144">
        <v>540</v>
      </c>
      <c r="AJ144" t="s">
        <v>503</v>
      </c>
      <c r="AK144" s="2">
        <v>46226</v>
      </c>
      <c r="AL144" s="2">
        <v>46226</v>
      </c>
      <c r="AM144" s="3">
        <v>80</v>
      </c>
      <c r="AN144" t="s">
        <v>20</v>
      </c>
      <c r="AO144" s="3">
        <v>36000</v>
      </c>
      <c r="AP144" t="s">
        <v>515</v>
      </c>
      <c r="AR144" t="s">
        <v>516</v>
      </c>
      <c r="AS144" t="s">
        <v>23</v>
      </c>
    </row>
    <row r="145" spans="1:47" x14ac:dyDescent="0.25">
      <c r="A145" s="1">
        <v>2692526</v>
      </c>
      <c r="B145" t="s">
        <v>248</v>
      </c>
      <c r="C145">
        <v>540</v>
      </c>
      <c r="D145" t="s">
        <v>1</v>
      </c>
      <c r="E145" s="2">
        <v>46226</v>
      </c>
      <c r="F145" s="2">
        <v>46226</v>
      </c>
      <c r="G145" s="3">
        <v>15</v>
      </c>
      <c r="H145" t="s">
        <v>11</v>
      </c>
      <c r="I145" s="3">
        <v>0</v>
      </c>
      <c r="J145" t="s">
        <v>249</v>
      </c>
      <c r="K145" t="s">
        <v>4</v>
      </c>
      <c r="L145" t="s">
        <v>22</v>
      </c>
      <c r="M145" t="s">
        <v>23</v>
      </c>
      <c r="N145" t="s">
        <v>7</v>
      </c>
      <c r="O145" t="s">
        <v>7</v>
      </c>
      <c r="Q145" t="b">
        <f t="shared" si="30"/>
        <v>1</v>
      </c>
      <c r="R145" t="b">
        <f t="shared" si="31"/>
        <v>1</v>
      </c>
      <c r="S145" t="b">
        <f t="shared" si="32"/>
        <v>1</v>
      </c>
      <c r="T145" t="b">
        <f t="shared" si="33"/>
        <v>1</v>
      </c>
      <c r="U145" t="b">
        <f t="shared" si="34"/>
        <v>1</v>
      </c>
      <c r="V145" t="b">
        <f t="shared" si="35"/>
        <v>1</v>
      </c>
      <c r="W145" t="b">
        <f t="shared" si="36"/>
        <v>1</v>
      </c>
      <c r="X145" t="b">
        <f t="shared" si="37"/>
        <v>1</v>
      </c>
      <c r="Y145" t="b">
        <f t="shared" si="38"/>
        <v>1</v>
      </c>
      <c r="Z145" t="b">
        <f t="shared" si="39"/>
        <v>1</v>
      </c>
      <c r="AA145" t="b">
        <f t="shared" si="40"/>
        <v>1</v>
      </c>
      <c r="AB145" t="b">
        <f t="shared" si="41"/>
        <v>1</v>
      </c>
      <c r="AC145" t="b">
        <f t="shared" si="42"/>
        <v>1</v>
      </c>
      <c r="AD145" t="b">
        <f t="shared" si="43"/>
        <v>1</v>
      </c>
      <c r="AE145" t="b">
        <f t="shared" si="44"/>
        <v>1</v>
      </c>
      <c r="AG145" s="1">
        <v>2692526</v>
      </c>
      <c r="AH145" t="s">
        <v>726</v>
      </c>
      <c r="AI145">
        <v>540</v>
      </c>
      <c r="AJ145" t="s">
        <v>503</v>
      </c>
      <c r="AK145" s="2">
        <v>46226</v>
      </c>
      <c r="AL145" s="2">
        <v>46226</v>
      </c>
      <c r="AM145" s="3">
        <v>15</v>
      </c>
      <c r="AN145" t="s">
        <v>11</v>
      </c>
      <c r="AO145" s="3">
        <v>0</v>
      </c>
      <c r="AP145" t="s">
        <v>727</v>
      </c>
      <c r="AR145" t="s">
        <v>516</v>
      </c>
      <c r="AS145" t="s">
        <v>23</v>
      </c>
    </row>
    <row r="146" spans="1:47" x14ac:dyDescent="0.25">
      <c r="A146" s="1">
        <v>2724711</v>
      </c>
      <c r="B146" t="s">
        <v>91</v>
      </c>
      <c r="C146">
        <v>540</v>
      </c>
      <c r="D146" t="s">
        <v>1</v>
      </c>
      <c r="E146" s="2">
        <v>46226</v>
      </c>
      <c r="F146" s="2">
        <v>46226</v>
      </c>
      <c r="G146" s="3">
        <v>1</v>
      </c>
      <c r="H146" t="s">
        <v>11</v>
      </c>
      <c r="I146" s="3">
        <v>2600</v>
      </c>
      <c r="J146" t="s">
        <v>92</v>
      </c>
      <c r="K146" t="s">
        <v>4</v>
      </c>
      <c r="L146" t="s">
        <v>30</v>
      </c>
      <c r="M146" t="s">
        <v>6</v>
      </c>
      <c r="N146" t="s">
        <v>7</v>
      </c>
      <c r="O146" t="s">
        <v>7</v>
      </c>
      <c r="Q146" t="b">
        <f t="shared" si="30"/>
        <v>1</v>
      </c>
      <c r="R146" t="b">
        <f t="shared" si="31"/>
        <v>1</v>
      </c>
      <c r="S146" t="b">
        <f t="shared" si="32"/>
        <v>1</v>
      </c>
      <c r="T146" t="b">
        <f t="shared" si="33"/>
        <v>1</v>
      </c>
      <c r="U146" t="b">
        <f t="shared" si="34"/>
        <v>1</v>
      </c>
      <c r="V146" t="b">
        <f t="shared" si="35"/>
        <v>1</v>
      </c>
      <c r="W146" t="b">
        <f t="shared" si="36"/>
        <v>1</v>
      </c>
      <c r="X146" t="b">
        <f t="shared" si="37"/>
        <v>1</v>
      </c>
      <c r="Y146" t="b">
        <f t="shared" si="38"/>
        <v>1</v>
      </c>
      <c r="Z146" t="b">
        <f t="shared" si="39"/>
        <v>1</v>
      </c>
      <c r="AA146" t="b">
        <f t="shared" si="40"/>
        <v>1</v>
      </c>
      <c r="AB146" t="b">
        <f t="shared" si="41"/>
        <v>1</v>
      </c>
      <c r="AC146" t="b">
        <f t="shared" si="42"/>
        <v>1</v>
      </c>
      <c r="AD146" t="b">
        <f t="shared" si="43"/>
        <v>1</v>
      </c>
      <c r="AE146" t="b">
        <f t="shared" si="44"/>
        <v>1</v>
      </c>
      <c r="AG146" s="1">
        <v>2724711</v>
      </c>
      <c r="AH146" t="s">
        <v>578</v>
      </c>
      <c r="AI146">
        <v>540</v>
      </c>
      <c r="AJ146" t="s">
        <v>503</v>
      </c>
      <c r="AK146" s="2">
        <v>46226</v>
      </c>
      <c r="AL146" s="2">
        <v>46226</v>
      </c>
      <c r="AM146" s="3">
        <v>1</v>
      </c>
      <c r="AN146" t="s">
        <v>11</v>
      </c>
      <c r="AO146" s="3">
        <v>2600</v>
      </c>
      <c r="AP146" t="s">
        <v>579</v>
      </c>
      <c r="AR146" t="s">
        <v>521</v>
      </c>
    </row>
    <row r="147" spans="1:47" x14ac:dyDescent="0.25">
      <c r="A147" s="1">
        <v>2734393</v>
      </c>
      <c r="B147" t="s">
        <v>0</v>
      </c>
      <c r="C147">
        <v>540</v>
      </c>
      <c r="D147" t="s">
        <v>1</v>
      </c>
      <c r="E147" s="2">
        <v>46226</v>
      </c>
      <c r="F147" s="2">
        <v>46226</v>
      </c>
      <c r="G147" s="3">
        <v>1</v>
      </c>
      <c r="H147" t="s">
        <v>8</v>
      </c>
      <c r="I147" s="3">
        <v>44</v>
      </c>
      <c r="J147" t="s">
        <v>250</v>
      </c>
      <c r="K147" t="s">
        <v>4</v>
      </c>
      <c r="L147" t="s">
        <v>246</v>
      </c>
      <c r="M147" t="s">
        <v>6</v>
      </c>
      <c r="N147" t="s">
        <v>7</v>
      </c>
      <c r="O147" t="s">
        <v>251</v>
      </c>
      <c r="Q147" t="b">
        <f t="shared" si="30"/>
        <v>1</v>
      </c>
      <c r="R147" t="b">
        <f t="shared" si="31"/>
        <v>1</v>
      </c>
      <c r="S147" t="b">
        <f t="shared" si="32"/>
        <v>1</v>
      </c>
      <c r="T147" t="b">
        <f t="shared" si="33"/>
        <v>1</v>
      </c>
      <c r="U147" t="b">
        <f t="shared" si="34"/>
        <v>1</v>
      </c>
      <c r="V147" t="b">
        <f t="shared" si="35"/>
        <v>1</v>
      </c>
      <c r="W147" t="b">
        <f t="shared" si="36"/>
        <v>1</v>
      </c>
      <c r="X147" t="b">
        <f t="shared" si="37"/>
        <v>1</v>
      </c>
      <c r="Y147" t="b">
        <f t="shared" si="38"/>
        <v>1</v>
      </c>
      <c r="Z147" t="b">
        <f t="shared" si="39"/>
        <v>1</v>
      </c>
      <c r="AA147" t="b">
        <f t="shared" si="40"/>
        <v>1</v>
      </c>
      <c r="AB147" t="b">
        <f t="shared" si="41"/>
        <v>1</v>
      </c>
      <c r="AC147" t="b">
        <f t="shared" si="42"/>
        <v>1</v>
      </c>
      <c r="AD147" t="b">
        <f t="shared" si="43"/>
        <v>1</v>
      </c>
      <c r="AE147" t="b">
        <f t="shared" si="44"/>
        <v>1</v>
      </c>
      <c r="AG147" s="1">
        <v>2734393</v>
      </c>
      <c r="AH147" t="s">
        <v>502</v>
      </c>
      <c r="AI147">
        <v>540</v>
      </c>
      <c r="AJ147" t="s">
        <v>503</v>
      </c>
      <c r="AK147" s="2">
        <v>46226</v>
      </c>
      <c r="AL147" s="2">
        <v>46226</v>
      </c>
      <c r="AM147" s="3">
        <v>1</v>
      </c>
      <c r="AN147" t="s">
        <v>8</v>
      </c>
      <c r="AO147" s="3">
        <v>44</v>
      </c>
      <c r="AP147" t="s">
        <v>728</v>
      </c>
      <c r="AR147" t="s">
        <v>724</v>
      </c>
      <c r="AU147" t="s">
        <v>729</v>
      </c>
    </row>
    <row r="148" spans="1:47" x14ac:dyDescent="0.25">
      <c r="A148" s="1">
        <v>2739092</v>
      </c>
      <c r="B148" t="s">
        <v>75</v>
      </c>
      <c r="C148">
        <v>540</v>
      </c>
      <c r="D148" t="s">
        <v>1</v>
      </c>
      <c r="E148" s="2">
        <v>46223</v>
      </c>
      <c r="F148" s="2">
        <v>46226</v>
      </c>
      <c r="G148" s="3">
        <v>4</v>
      </c>
      <c r="H148" t="s">
        <v>20</v>
      </c>
      <c r="I148" s="3">
        <v>1800</v>
      </c>
      <c r="J148" t="s">
        <v>252</v>
      </c>
      <c r="K148" t="s">
        <v>4</v>
      </c>
      <c r="L148" t="s">
        <v>37</v>
      </c>
      <c r="M148" t="s">
        <v>6</v>
      </c>
      <c r="N148" t="s">
        <v>7</v>
      </c>
      <c r="O148" t="s">
        <v>7</v>
      </c>
      <c r="Q148" t="b">
        <f t="shared" si="30"/>
        <v>1</v>
      </c>
      <c r="R148" t="b">
        <f t="shared" si="31"/>
        <v>1</v>
      </c>
      <c r="S148" t="b">
        <f t="shared" si="32"/>
        <v>1</v>
      </c>
      <c r="T148" t="b">
        <f t="shared" si="33"/>
        <v>1</v>
      </c>
      <c r="U148" t="b">
        <f t="shared" si="34"/>
        <v>1</v>
      </c>
      <c r="V148" t="b">
        <f t="shared" si="35"/>
        <v>1</v>
      </c>
      <c r="W148" t="b">
        <f t="shared" si="36"/>
        <v>1</v>
      </c>
      <c r="X148" t="b">
        <f t="shared" si="37"/>
        <v>1</v>
      </c>
      <c r="Y148" t="b">
        <f t="shared" si="38"/>
        <v>1</v>
      </c>
      <c r="Z148" t="b">
        <f t="shared" si="39"/>
        <v>1</v>
      </c>
      <c r="AA148" t="b">
        <f t="shared" si="40"/>
        <v>1</v>
      </c>
      <c r="AB148" t="b">
        <f t="shared" si="41"/>
        <v>1</v>
      </c>
      <c r="AC148" t="b">
        <f t="shared" si="42"/>
        <v>1</v>
      </c>
      <c r="AD148" t="b">
        <f t="shared" si="43"/>
        <v>1</v>
      </c>
      <c r="AE148" t="b">
        <f t="shared" si="44"/>
        <v>1</v>
      </c>
      <c r="AG148" s="1">
        <v>2739092</v>
      </c>
      <c r="AH148" t="s">
        <v>563</v>
      </c>
      <c r="AI148">
        <v>540</v>
      </c>
      <c r="AJ148" t="s">
        <v>503</v>
      </c>
      <c r="AK148" s="2">
        <v>46223</v>
      </c>
      <c r="AL148" s="2">
        <v>46226</v>
      </c>
      <c r="AM148" s="3">
        <v>4</v>
      </c>
      <c r="AN148" t="s">
        <v>20</v>
      </c>
      <c r="AO148" s="3">
        <v>1800</v>
      </c>
      <c r="AP148" t="s">
        <v>730</v>
      </c>
      <c r="AR148" t="s">
        <v>528</v>
      </c>
    </row>
    <row r="149" spans="1:47" x14ac:dyDescent="0.25">
      <c r="A149" s="1">
        <v>2739092</v>
      </c>
      <c r="B149" t="s">
        <v>75</v>
      </c>
      <c r="C149">
        <v>540</v>
      </c>
      <c r="D149" t="s">
        <v>1</v>
      </c>
      <c r="E149" s="2">
        <v>46223</v>
      </c>
      <c r="F149" s="2">
        <v>46226</v>
      </c>
      <c r="G149" s="3">
        <v>8</v>
      </c>
      <c r="H149" t="s">
        <v>20</v>
      </c>
      <c r="I149" s="3">
        <v>3600</v>
      </c>
      <c r="J149" t="s">
        <v>132</v>
      </c>
      <c r="K149" t="s">
        <v>4</v>
      </c>
      <c r="L149" t="s">
        <v>37</v>
      </c>
      <c r="M149" t="s">
        <v>6</v>
      </c>
      <c r="N149" t="s">
        <v>7</v>
      </c>
      <c r="O149" t="s">
        <v>7</v>
      </c>
      <c r="Q149" t="b">
        <f t="shared" si="30"/>
        <v>1</v>
      </c>
      <c r="R149" t="b">
        <f t="shared" si="31"/>
        <v>1</v>
      </c>
      <c r="S149" t="b">
        <f t="shared" si="32"/>
        <v>1</v>
      </c>
      <c r="T149" t="b">
        <f t="shared" si="33"/>
        <v>1</v>
      </c>
      <c r="U149" t="b">
        <f t="shared" si="34"/>
        <v>1</v>
      </c>
      <c r="V149" t="b">
        <f t="shared" si="35"/>
        <v>1</v>
      </c>
      <c r="W149" t="b">
        <f t="shared" si="36"/>
        <v>1</v>
      </c>
      <c r="X149" t="b">
        <f t="shared" si="37"/>
        <v>1</v>
      </c>
      <c r="Y149" t="b">
        <f t="shared" si="38"/>
        <v>1</v>
      </c>
      <c r="Z149" t="b">
        <f t="shared" si="39"/>
        <v>1</v>
      </c>
      <c r="AA149" t="b">
        <f t="shared" si="40"/>
        <v>1</v>
      </c>
      <c r="AB149" t="b">
        <f t="shared" si="41"/>
        <v>1</v>
      </c>
      <c r="AC149" t="b">
        <f t="shared" si="42"/>
        <v>1</v>
      </c>
      <c r="AD149" t="b">
        <f t="shared" si="43"/>
        <v>1</v>
      </c>
      <c r="AE149" t="b">
        <f t="shared" si="44"/>
        <v>1</v>
      </c>
      <c r="AG149" s="1">
        <v>2739092</v>
      </c>
      <c r="AH149" t="s">
        <v>563</v>
      </c>
      <c r="AI149">
        <v>540</v>
      </c>
      <c r="AJ149" t="s">
        <v>503</v>
      </c>
      <c r="AK149" s="2">
        <v>46223</v>
      </c>
      <c r="AL149" s="2">
        <v>46226</v>
      </c>
      <c r="AM149" s="3">
        <v>8</v>
      </c>
      <c r="AN149" t="s">
        <v>20</v>
      </c>
      <c r="AO149" s="3">
        <v>3600</v>
      </c>
      <c r="AP149" t="s">
        <v>617</v>
      </c>
      <c r="AR149" t="s">
        <v>528</v>
      </c>
    </row>
    <row r="150" spans="1:47" x14ac:dyDescent="0.25">
      <c r="A150" s="1">
        <v>2739300</v>
      </c>
      <c r="B150" t="s">
        <v>253</v>
      </c>
      <c r="C150">
        <v>530</v>
      </c>
      <c r="D150" t="s">
        <v>1</v>
      </c>
      <c r="E150" s="2">
        <v>46217</v>
      </c>
      <c r="F150" s="2">
        <v>46226</v>
      </c>
      <c r="G150" s="3">
        <v>1</v>
      </c>
      <c r="H150" t="s">
        <v>11</v>
      </c>
      <c r="I150" s="3">
        <v>2700</v>
      </c>
      <c r="J150" t="s">
        <v>254</v>
      </c>
      <c r="K150" t="s">
        <v>4</v>
      </c>
      <c r="L150" t="s">
        <v>30</v>
      </c>
      <c r="M150" t="s">
        <v>6</v>
      </c>
      <c r="N150" t="s">
        <v>7</v>
      </c>
      <c r="O150" t="s">
        <v>7</v>
      </c>
      <c r="Q150" t="b">
        <f t="shared" si="30"/>
        <v>1</v>
      </c>
      <c r="R150" t="b">
        <f t="shared" si="31"/>
        <v>1</v>
      </c>
      <c r="S150" t="b">
        <f t="shared" si="32"/>
        <v>1</v>
      </c>
      <c r="T150" t="b">
        <f t="shared" si="33"/>
        <v>1</v>
      </c>
      <c r="U150" t="b">
        <f t="shared" si="34"/>
        <v>1</v>
      </c>
      <c r="V150" t="b">
        <f t="shared" si="35"/>
        <v>1</v>
      </c>
      <c r="W150" t="b">
        <f t="shared" si="36"/>
        <v>1</v>
      </c>
      <c r="X150" t="b">
        <f t="shared" si="37"/>
        <v>1</v>
      </c>
      <c r="Y150" t="b">
        <f t="shared" si="38"/>
        <v>1</v>
      </c>
      <c r="Z150" t="b">
        <f t="shared" si="39"/>
        <v>1</v>
      </c>
      <c r="AA150" t="b">
        <f t="shared" si="40"/>
        <v>1</v>
      </c>
      <c r="AB150" t="b">
        <f t="shared" si="41"/>
        <v>1</v>
      </c>
      <c r="AC150" t="b">
        <f t="shared" si="42"/>
        <v>1</v>
      </c>
      <c r="AD150" t="b">
        <f t="shared" si="43"/>
        <v>1</v>
      </c>
      <c r="AE150" t="b">
        <f t="shared" si="44"/>
        <v>1</v>
      </c>
      <c r="AG150" s="1">
        <v>2739300</v>
      </c>
      <c r="AH150" t="s">
        <v>731</v>
      </c>
      <c r="AI150">
        <v>530</v>
      </c>
      <c r="AJ150" t="s">
        <v>503</v>
      </c>
      <c r="AK150" s="2">
        <v>46217</v>
      </c>
      <c r="AL150" s="2">
        <v>46226</v>
      </c>
      <c r="AM150" s="3">
        <v>1</v>
      </c>
      <c r="AN150" t="s">
        <v>11</v>
      </c>
      <c r="AO150" s="3">
        <v>2700</v>
      </c>
      <c r="AP150" t="s">
        <v>732</v>
      </c>
      <c r="AR150" t="s">
        <v>521</v>
      </c>
    </row>
    <row r="151" spans="1:47" x14ac:dyDescent="0.25">
      <c r="A151" s="1">
        <v>2743584</v>
      </c>
      <c r="B151" t="s">
        <v>255</v>
      </c>
      <c r="C151">
        <v>540</v>
      </c>
      <c r="D151" t="s">
        <v>1</v>
      </c>
      <c r="E151" s="2">
        <v>46218</v>
      </c>
      <c r="F151" s="2">
        <v>46226</v>
      </c>
      <c r="G151" s="3">
        <v>2</v>
      </c>
      <c r="H151" t="s">
        <v>20</v>
      </c>
      <c r="I151" s="3">
        <v>940</v>
      </c>
      <c r="J151" t="s">
        <v>256</v>
      </c>
      <c r="K151" t="s">
        <v>4</v>
      </c>
      <c r="L151" t="s">
        <v>37</v>
      </c>
      <c r="M151" t="s">
        <v>6</v>
      </c>
      <c r="N151" t="s">
        <v>7</v>
      </c>
      <c r="O151" t="s">
        <v>7</v>
      </c>
      <c r="Q151" t="b">
        <f t="shared" si="30"/>
        <v>1</v>
      </c>
      <c r="R151" t="b">
        <f t="shared" si="31"/>
        <v>1</v>
      </c>
      <c r="S151" t="b">
        <f t="shared" si="32"/>
        <v>1</v>
      </c>
      <c r="T151" t="b">
        <f t="shared" si="33"/>
        <v>1</v>
      </c>
      <c r="U151" t="b">
        <f t="shared" si="34"/>
        <v>1</v>
      </c>
      <c r="V151" t="b">
        <f t="shared" si="35"/>
        <v>1</v>
      </c>
      <c r="W151" t="b">
        <f t="shared" si="36"/>
        <v>1</v>
      </c>
      <c r="X151" t="b">
        <f t="shared" si="37"/>
        <v>1</v>
      </c>
      <c r="Y151" t="b">
        <f t="shared" si="38"/>
        <v>1</v>
      </c>
      <c r="Z151" t="b">
        <f t="shared" si="39"/>
        <v>1</v>
      </c>
      <c r="AA151" t="b">
        <f t="shared" si="40"/>
        <v>1</v>
      </c>
      <c r="AB151" t="b">
        <f t="shared" si="41"/>
        <v>1</v>
      </c>
      <c r="AC151" t="b">
        <f t="shared" si="42"/>
        <v>1</v>
      </c>
      <c r="AD151" t="b">
        <f t="shared" si="43"/>
        <v>1</v>
      </c>
      <c r="AE151" t="b">
        <f t="shared" si="44"/>
        <v>1</v>
      </c>
      <c r="AG151" s="1">
        <v>2743584</v>
      </c>
      <c r="AH151" t="s">
        <v>733</v>
      </c>
      <c r="AI151">
        <v>540</v>
      </c>
      <c r="AJ151" t="s">
        <v>503</v>
      </c>
      <c r="AK151" s="2">
        <v>46218</v>
      </c>
      <c r="AL151" s="2">
        <v>46226</v>
      </c>
      <c r="AM151" s="3">
        <v>2</v>
      </c>
      <c r="AN151" t="s">
        <v>20</v>
      </c>
      <c r="AO151" s="3">
        <v>940</v>
      </c>
      <c r="AP151" t="s">
        <v>734</v>
      </c>
      <c r="AR151" t="s">
        <v>528</v>
      </c>
    </row>
    <row r="152" spans="1:47" x14ac:dyDescent="0.25">
      <c r="A152" s="1">
        <v>2744088</v>
      </c>
      <c r="B152" t="s">
        <v>134</v>
      </c>
      <c r="C152">
        <v>530</v>
      </c>
      <c r="D152" t="s">
        <v>1</v>
      </c>
      <c r="E152" s="2">
        <v>46218</v>
      </c>
      <c r="F152" s="2">
        <v>46226</v>
      </c>
      <c r="G152" s="3">
        <v>4</v>
      </c>
      <c r="H152" t="s">
        <v>20</v>
      </c>
      <c r="I152" s="3">
        <v>1800</v>
      </c>
      <c r="J152" t="s">
        <v>135</v>
      </c>
      <c r="K152" t="s">
        <v>181</v>
      </c>
      <c r="L152" t="s">
        <v>37</v>
      </c>
      <c r="M152" t="s">
        <v>6</v>
      </c>
      <c r="N152" t="s">
        <v>7</v>
      </c>
      <c r="O152" t="s">
        <v>7</v>
      </c>
      <c r="Q152" t="b">
        <f t="shared" si="30"/>
        <v>1</v>
      </c>
      <c r="R152" t="b">
        <f t="shared" si="31"/>
        <v>1</v>
      </c>
      <c r="S152" t="b">
        <f t="shared" si="32"/>
        <v>1</v>
      </c>
      <c r="T152" t="b">
        <f t="shared" si="33"/>
        <v>1</v>
      </c>
      <c r="U152" t="b">
        <f t="shared" si="34"/>
        <v>1</v>
      </c>
      <c r="V152" t="b">
        <f t="shared" si="35"/>
        <v>1</v>
      </c>
      <c r="W152" t="b">
        <f t="shared" si="36"/>
        <v>1</v>
      </c>
      <c r="X152" t="b">
        <f t="shared" si="37"/>
        <v>1</v>
      </c>
      <c r="Y152" t="b">
        <f t="shared" si="38"/>
        <v>1</v>
      </c>
      <c r="Z152" t="b">
        <f t="shared" si="39"/>
        <v>1</v>
      </c>
      <c r="AA152" t="b">
        <f t="shared" si="40"/>
        <v>1</v>
      </c>
      <c r="AB152" t="b">
        <f t="shared" si="41"/>
        <v>1</v>
      </c>
      <c r="AC152" t="b">
        <f t="shared" si="42"/>
        <v>1</v>
      </c>
      <c r="AD152" t="b">
        <f t="shared" si="43"/>
        <v>1</v>
      </c>
      <c r="AE152" t="b">
        <f t="shared" si="44"/>
        <v>1</v>
      </c>
      <c r="AG152" s="1">
        <v>2744088</v>
      </c>
      <c r="AH152" t="s">
        <v>619</v>
      </c>
      <c r="AI152">
        <v>530</v>
      </c>
      <c r="AJ152" t="s">
        <v>503</v>
      </c>
      <c r="AK152" s="2">
        <v>46218</v>
      </c>
      <c r="AL152" s="2">
        <v>46226</v>
      </c>
      <c r="AM152" s="3">
        <v>4</v>
      </c>
      <c r="AN152" t="s">
        <v>20</v>
      </c>
      <c r="AO152" s="3">
        <v>1800</v>
      </c>
      <c r="AP152" t="s">
        <v>620</v>
      </c>
      <c r="AQ152" t="s">
        <v>181</v>
      </c>
      <c r="AR152" t="s">
        <v>528</v>
      </c>
    </row>
    <row r="153" spans="1:47" x14ac:dyDescent="0.25">
      <c r="A153" s="1">
        <v>2744088</v>
      </c>
      <c r="B153" t="s">
        <v>134</v>
      </c>
      <c r="C153">
        <v>530</v>
      </c>
      <c r="D153" t="s">
        <v>1</v>
      </c>
      <c r="E153" s="2">
        <v>46218</v>
      </c>
      <c r="F153" s="2">
        <v>46226</v>
      </c>
      <c r="G153" s="3">
        <v>6</v>
      </c>
      <c r="H153" t="s">
        <v>20</v>
      </c>
      <c r="I153" s="3">
        <v>2850</v>
      </c>
      <c r="J153" t="s">
        <v>136</v>
      </c>
      <c r="K153" t="s">
        <v>181</v>
      </c>
      <c r="L153" t="s">
        <v>37</v>
      </c>
      <c r="M153" t="s">
        <v>6</v>
      </c>
      <c r="N153" t="s">
        <v>7</v>
      </c>
      <c r="O153" t="s">
        <v>7</v>
      </c>
      <c r="Q153" t="b">
        <f t="shared" si="30"/>
        <v>1</v>
      </c>
      <c r="R153" t="b">
        <f t="shared" si="31"/>
        <v>1</v>
      </c>
      <c r="S153" t="b">
        <f t="shared" si="32"/>
        <v>1</v>
      </c>
      <c r="T153" t="b">
        <f t="shared" si="33"/>
        <v>1</v>
      </c>
      <c r="U153" t="b">
        <f t="shared" si="34"/>
        <v>1</v>
      </c>
      <c r="V153" t="b">
        <f t="shared" si="35"/>
        <v>1</v>
      </c>
      <c r="W153" t="b">
        <f t="shared" si="36"/>
        <v>1</v>
      </c>
      <c r="X153" t="b">
        <f t="shared" si="37"/>
        <v>1</v>
      </c>
      <c r="Y153" t="b">
        <f t="shared" si="38"/>
        <v>1</v>
      </c>
      <c r="Z153" t="b">
        <f t="shared" si="39"/>
        <v>1</v>
      </c>
      <c r="AA153" t="b">
        <f t="shared" si="40"/>
        <v>1</v>
      </c>
      <c r="AB153" t="b">
        <f t="shared" si="41"/>
        <v>1</v>
      </c>
      <c r="AC153" t="b">
        <f t="shared" si="42"/>
        <v>1</v>
      </c>
      <c r="AD153" t="b">
        <f t="shared" si="43"/>
        <v>1</v>
      </c>
      <c r="AE153" t="b">
        <f t="shared" si="44"/>
        <v>1</v>
      </c>
      <c r="AG153" s="1">
        <v>2744088</v>
      </c>
      <c r="AH153" t="s">
        <v>619</v>
      </c>
      <c r="AI153">
        <v>530</v>
      </c>
      <c r="AJ153" t="s">
        <v>503</v>
      </c>
      <c r="AK153" s="2">
        <v>46218</v>
      </c>
      <c r="AL153" s="2">
        <v>46226</v>
      </c>
      <c r="AM153" s="3">
        <v>6</v>
      </c>
      <c r="AN153" t="s">
        <v>20</v>
      </c>
      <c r="AO153" s="3">
        <v>2850</v>
      </c>
      <c r="AP153" t="s">
        <v>621</v>
      </c>
      <c r="AQ153" t="s">
        <v>181</v>
      </c>
      <c r="AR153" t="s">
        <v>528</v>
      </c>
    </row>
    <row r="154" spans="1:47" x14ac:dyDescent="0.25">
      <c r="A154" s="1">
        <v>2744088</v>
      </c>
      <c r="B154" t="s">
        <v>134</v>
      </c>
      <c r="C154">
        <v>530</v>
      </c>
      <c r="D154" t="s">
        <v>1</v>
      </c>
      <c r="E154" s="2">
        <v>46218</v>
      </c>
      <c r="F154" s="2">
        <v>46226</v>
      </c>
      <c r="G154" s="3">
        <v>3</v>
      </c>
      <c r="H154" t="s">
        <v>20</v>
      </c>
      <c r="I154" s="3">
        <v>1500</v>
      </c>
      <c r="J154" t="s">
        <v>257</v>
      </c>
      <c r="K154" t="s">
        <v>181</v>
      </c>
      <c r="L154" t="s">
        <v>37</v>
      </c>
      <c r="M154" t="s">
        <v>6</v>
      </c>
      <c r="N154" t="s">
        <v>7</v>
      </c>
      <c r="O154" t="s">
        <v>7</v>
      </c>
      <c r="Q154" t="b">
        <f t="shared" si="30"/>
        <v>1</v>
      </c>
      <c r="R154" t="b">
        <f t="shared" si="31"/>
        <v>1</v>
      </c>
      <c r="S154" t="b">
        <f t="shared" si="32"/>
        <v>1</v>
      </c>
      <c r="T154" t="b">
        <f t="shared" si="33"/>
        <v>1</v>
      </c>
      <c r="U154" t="b">
        <f t="shared" si="34"/>
        <v>1</v>
      </c>
      <c r="V154" t="b">
        <f t="shared" si="35"/>
        <v>1</v>
      </c>
      <c r="W154" t="b">
        <f t="shared" si="36"/>
        <v>1</v>
      </c>
      <c r="X154" t="b">
        <f t="shared" si="37"/>
        <v>1</v>
      </c>
      <c r="Y154" t="b">
        <f t="shared" si="38"/>
        <v>1</v>
      </c>
      <c r="Z154" t="b">
        <f t="shared" si="39"/>
        <v>1</v>
      </c>
      <c r="AA154" t="b">
        <f t="shared" si="40"/>
        <v>1</v>
      </c>
      <c r="AB154" t="b">
        <f t="shared" si="41"/>
        <v>1</v>
      </c>
      <c r="AC154" t="b">
        <f t="shared" si="42"/>
        <v>1</v>
      </c>
      <c r="AD154" t="b">
        <f t="shared" si="43"/>
        <v>1</v>
      </c>
      <c r="AE154" t="b">
        <f t="shared" si="44"/>
        <v>1</v>
      </c>
      <c r="AG154" s="1">
        <v>2744088</v>
      </c>
      <c r="AH154" t="s">
        <v>619</v>
      </c>
      <c r="AI154">
        <v>530</v>
      </c>
      <c r="AJ154" t="s">
        <v>503</v>
      </c>
      <c r="AK154" s="2">
        <v>46218</v>
      </c>
      <c r="AL154" s="2">
        <v>46226</v>
      </c>
      <c r="AM154" s="3">
        <v>3</v>
      </c>
      <c r="AN154" t="s">
        <v>20</v>
      </c>
      <c r="AO154" s="3">
        <v>1500</v>
      </c>
      <c r="AP154" t="s">
        <v>735</v>
      </c>
      <c r="AQ154" t="s">
        <v>181</v>
      </c>
      <c r="AR154" t="s">
        <v>528</v>
      </c>
    </row>
    <row r="155" spans="1:47" x14ac:dyDescent="0.25">
      <c r="A155" s="1">
        <v>2744229</v>
      </c>
      <c r="B155" t="s">
        <v>258</v>
      </c>
      <c r="C155">
        <v>530</v>
      </c>
      <c r="D155" t="s">
        <v>1</v>
      </c>
      <c r="E155" s="2">
        <v>46219</v>
      </c>
      <c r="F155" s="2">
        <v>46226</v>
      </c>
      <c r="G155" s="3">
        <v>2</v>
      </c>
      <c r="H155" t="s">
        <v>20</v>
      </c>
      <c r="I155" s="3">
        <v>900</v>
      </c>
      <c r="J155" t="s">
        <v>115</v>
      </c>
      <c r="K155" t="s">
        <v>4</v>
      </c>
      <c r="L155" t="s">
        <v>37</v>
      </c>
      <c r="M155" t="s">
        <v>6</v>
      </c>
      <c r="N155" t="s">
        <v>7</v>
      </c>
      <c r="O155" t="s">
        <v>259</v>
      </c>
      <c r="Q155" t="b">
        <f t="shared" si="30"/>
        <v>1</v>
      </c>
      <c r="R155" t="b">
        <f t="shared" si="31"/>
        <v>1</v>
      </c>
      <c r="S155" t="b">
        <f t="shared" si="32"/>
        <v>1</v>
      </c>
      <c r="T155" t="b">
        <f t="shared" si="33"/>
        <v>1</v>
      </c>
      <c r="U155" t="b">
        <f t="shared" si="34"/>
        <v>1</v>
      </c>
      <c r="V155" t="b">
        <f t="shared" si="35"/>
        <v>1</v>
      </c>
      <c r="W155" t="b">
        <f t="shared" si="36"/>
        <v>1</v>
      </c>
      <c r="X155" t="b">
        <f t="shared" si="37"/>
        <v>1</v>
      </c>
      <c r="Y155" t="b">
        <f t="shared" si="38"/>
        <v>1</v>
      </c>
      <c r="Z155" t="b">
        <f t="shared" si="39"/>
        <v>1</v>
      </c>
      <c r="AA155" t="b">
        <f t="shared" si="40"/>
        <v>1</v>
      </c>
      <c r="AB155" t="b">
        <f t="shared" si="41"/>
        <v>1</v>
      </c>
      <c r="AC155" t="b">
        <f t="shared" si="42"/>
        <v>1</v>
      </c>
      <c r="AD155" t="b">
        <f t="shared" si="43"/>
        <v>1</v>
      </c>
      <c r="AE155" t="b">
        <f t="shared" si="44"/>
        <v>1</v>
      </c>
      <c r="AG155" s="1">
        <v>2744229</v>
      </c>
      <c r="AH155" t="s">
        <v>258</v>
      </c>
      <c r="AI155">
        <v>530</v>
      </c>
      <c r="AJ155" t="s">
        <v>503</v>
      </c>
      <c r="AK155" s="2">
        <v>46219</v>
      </c>
      <c r="AL155" s="2">
        <v>46226</v>
      </c>
      <c r="AM155" s="3">
        <v>2</v>
      </c>
      <c r="AN155" t="s">
        <v>20</v>
      </c>
      <c r="AO155" s="3">
        <v>900</v>
      </c>
      <c r="AP155" t="s">
        <v>601</v>
      </c>
      <c r="AR155" t="s">
        <v>528</v>
      </c>
      <c r="AU155" t="s">
        <v>736</v>
      </c>
    </row>
    <row r="156" spans="1:47" x14ac:dyDescent="0.25">
      <c r="A156" s="1">
        <v>2744246</v>
      </c>
      <c r="B156" t="s">
        <v>99</v>
      </c>
      <c r="C156">
        <v>530</v>
      </c>
      <c r="D156" t="s">
        <v>1</v>
      </c>
      <c r="E156" s="2">
        <v>46220</v>
      </c>
      <c r="F156" s="2">
        <v>46226</v>
      </c>
      <c r="G156" s="3">
        <v>12</v>
      </c>
      <c r="H156" t="s">
        <v>11</v>
      </c>
      <c r="I156" s="3">
        <v>26400</v>
      </c>
      <c r="J156" t="s">
        <v>260</v>
      </c>
      <c r="K156" t="s">
        <v>181</v>
      </c>
      <c r="L156" t="s">
        <v>108</v>
      </c>
      <c r="M156" t="s">
        <v>6</v>
      </c>
      <c r="N156" t="s">
        <v>7</v>
      </c>
      <c r="O156" t="s">
        <v>7</v>
      </c>
      <c r="Q156" t="b">
        <f t="shared" si="30"/>
        <v>1</v>
      </c>
      <c r="R156" t="b">
        <f t="shared" si="31"/>
        <v>1</v>
      </c>
      <c r="S156" t="b">
        <f t="shared" si="32"/>
        <v>1</v>
      </c>
      <c r="T156" t="b">
        <f t="shared" si="33"/>
        <v>1</v>
      </c>
      <c r="U156" t="b">
        <f t="shared" si="34"/>
        <v>1</v>
      </c>
      <c r="V156" t="b">
        <f t="shared" si="35"/>
        <v>1</v>
      </c>
      <c r="W156" t="b">
        <f t="shared" si="36"/>
        <v>1</v>
      </c>
      <c r="X156" t="b">
        <f t="shared" si="37"/>
        <v>1</v>
      </c>
      <c r="Y156" t="b">
        <f t="shared" si="38"/>
        <v>1</v>
      </c>
      <c r="Z156" t="b">
        <f t="shared" si="39"/>
        <v>1</v>
      </c>
      <c r="AA156" t="b">
        <f t="shared" si="40"/>
        <v>1</v>
      </c>
      <c r="AB156" t="b">
        <f t="shared" si="41"/>
        <v>1</v>
      </c>
      <c r="AC156" t="b">
        <f t="shared" si="42"/>
        <v>1</v>
      </c>
      <c r="AD156" t="b">
        <f t="shared" si="43"/>
        <v>1</v>
      </c>
      <c r="AE156" t="b">
        <f t="shared" si="44"/>
        <v>1</v>
      </c>
      <c r="AG156" s="1">
        <v>2744246</v>
      </c>
      <c r="AH156" t="s">
        <v>586</v>
      </c>
      <c r="AI156">
        <v>530</v>
      </c>
      <c r="AJ156" t="s">
        <v>503</v>
      </c>
      <c r="AK156" s="2">
        <v>46220</v>
      </c>
      <c r="AL156" s="2">
        <v>46226</v>
      </c>
      <c r="AM156" s="3">
        <v>12</v>
      </c>
      <c r="AN156" t="s">
        <v>11</v>
      </c>
      <c r="AO156" s="3">
        <v>26400</v>
      </c>
      <c r="AP156" t="s">
        <v>737</v>
      </c>
      <c r="AQ156" t="s">
        <v>181</v>
      </c>
      <c r="AR156" t="s">
        <v>595</v>
      </c>
    </row>
    <row r="157" spans="1:47" x14ac:dyDescent="0.25">
      <c r="A157" s="1">
        <v>2744246</v>
      </c>
      <c r="B157" t="s">
        <v>99</v>
      </c>
      <c r="C157">
        <v>530</v>
      </c>
      <c r="D157" t="s">
        <v>1</v>
      </c>
      <c r="E157" s="2">
        <v>46220</v>
      </c>
      <c r="F157" s="2">
        <v>46226</v>
      </c>
      <c r="G157" s="3">
        <v>4</v>
      </c>
      <c r="H157" t="s">
        <v>11</v>
      </c>
      <c r="I157" s="3">
        <v>8400</v>
      </c>
      <c r="J157" t="s">
        <v>261</v>
      </c>
      <c r="K157" t="s">
        <v>181</v>
      </c>
      <c r="L157" t="s">
        <v>108</v>
      </c>
      <c r="M157" t="s">
        <v>6</v>
      </c>
      <c r="N157" t="s">
        <v>7</v>
      </c>
      <c r="O157" t="s">
        <v>7</v>
      </c>
      <c r="Q157" t="b">
        <f t="shared" si="30"/>
        <v>1</v>
      </c>
      <c r="R157" t="b">
        <f t="shared" si="31"/>
        <v>1</v>
      </c>
      <c r="S157" t="b">
        <f t="shared" si="32"/>
        <v>1</v>
      </c>
      <c r="T157" t="b">
        <f t="shared" si="33"/>
        <v>1</v>
      </c>
      <c r="U157" t="b">
        <f t="shared" si="34"/>
        <v>1</v>
      </c>
      <c r="V157" t="b">
        <f t="shared" si="35"/>
        <v>1</v>
      </c>
      <c r="W157" t="b">
        <f t="shared" si="36"/>
        <v>1</v>
      </c>
      <c r="X157" t="b">
        <f t="shared" si="37"/>
        <v>1</v>
      </c>
      <c r="Y157" t="b">
        <f t="shared" si="38"/>
        <v>1</v>
      </c>
      <c r="Z157" t="b">
        <f t="shared" si="39"/>
        <v>1</v>
      </c>
      <c r="AA157" t="b">
        <f t="shared" si="40"/>
        <v>1</v>
      </c>
      <c r="AB157" t="b">
        <f t="shared" si="41"/>
        <v>1</v>
      </c>
      <c r="AC157" t="b">
        <f t="shared" si="42"/>
        <v>1</v>
      </c>
      <c r="AD157" t="b">
        <f t="shared" si="43"/>
        <v>1</v>
      </c>
      <c r="AE157" t="b">
        <f t="shared" si="44"/>
        <v>1</v>
      </c>
      <c r="AG157" s="1">
        <v>2744246</v>
      </c>
      <c r="AH157" t="s">
        <v>586</v>
      </c>
      <c r="AI157">
        <v>530</v>
      </c>
      <c r="AJ157" t="s">
        <v>503</v>
      </c>
      <c r="AK157" s="2">
        <v>46220</v>
      </c>
      <c r="AL157" s="2">
        <v>46226</v>
      </c>
      <c r="AM157" s="3">
        <v>4</v>
      </c>
      <c r="AN157" t="s">
        <v>11</v>
      </c>
      <c r="AO157" s="3">
        <v>8400</v>
      </c>
      <c r="AP157" t="s">
        <v>738</v>
      </c>
      <c r="AQ157" t="s">
        <v>181</v>
      </c>
      <c r="AR157" t="s">
        <v>595</v>
      </c>
    </row>
    <row r="158" spans="1:47" x14ac:dyDescent="0.25">
      <c r="A158" s="1">
        <v>2695179</v>
      </c>
      <c r="B158" t="s">
        <v>163</v>
      </c>
      <c r="C158">
        <v>540</v>
      </c>
      <c r="D158" t="s">
        <v>1</v>
      </c>
      <c r="E158" s="2">
        <v>46227</v>
      </c>
      <c r="F158" s="2">
        <v>46227</v>
      </c>
      <c r="G158" s="3">
        <v>12</v>
      </c>
      <c r="H158" t="s">
        <v>20</v>
      </c>
      <c r="I158" s="3">
        <v>5400</v>
      </c>
      <c r="J158" t="s">
        <v>262</v>
      </c>
      <c r="K158" t="s">
        <v>130</v>
      </c>
      <c r="L158" t="s">
        <v>108</v>
      </c>
      <c r="M158" t="s">
        <v>6</v>
      </c>
      <c r="N158" t="s">
        <v>165</v>
      </c>
      <c r="O158" t="s">
        <v>7</v>
      </c>
      <c r="Q158" t="b">
        <f t="shared" si="30"/>
        <v>1</v>
      </c>
      <c r="R158" t="b">
        <f t="shared" si="31"/>
        <v>1</v>
      </c>
      <c r="S158" t="b">
        <f t="shared" si="32"/>
        <v>1</v>
      </c>
      <c r="T158" t="b">
        <f t="shared" si="33"/>
        <v>1</v>
      </c>
      <c r="U158" t="b">
        <f t="shared" si="34"/>
        <v>1</v>
      </c>
      <c r="V158" t="b">
        <f t="shared" si="35"/>
        <v>1</v>
      </c>
      <c r="W158" t="b">
        <f t="shared" si="36"/>
        <v>1</v>
      </c>
      <c r="X158" t="b">
        <f t="shared" si="37"/>
        <v>1</v>
      </c>
      <c r="Y158" t="b">
        <f t="shared" si="38"/>
        <v>1</v>
      </c>
      <c r="Z158" t="b">
        <f t="shared" si="39"/>
        <v>1</v>
      </c>
      <c r="AA158" t="b">
        <f t="shared" si="40"/>
        <v>1</v>
      </c>
      <c r="AB158" t="b">
        <f t="shared" si="41"/>
        <v>1</v>
      </c>
      <c r="AC158" t="b">
        <f t="shared" si="42"/>
        <v>1</v>
      </c>
      <c r="AD158" t="b">
        <f t="shared" si="43"/>
        <v>1</v>
      </c>
      <c r="AE158" t="b">
        <f t="shared" si="44"/>
        <v>1</v>
      </c>
      <c r="AG158" s="1">
        <v>2695179</v>
      </c>
      <c r="AH158" t="s">
        <v>646</v>
      </c>
      <c r="AI158">
        <v>540</v>
      </c>
      <c r="AJ158" t="s">
        <v>503</v>
      </c>
      <c r="AK158" s="2">
        <v>46227</v>
      </c>
      <c r="AL158" s="2">
        <v>46227</v>
      </c>
      <c r="AM158" s="3">
        <v>12</v>
      </c>
      <c r="AN158" t="s">
        <v>20</v>
      </c>
      <c r="AO158" s="3">
        <v>5400</v>
      </c>
      <c r="AP158" t="s">
        <v>739</v>
      </c>
      <c r="AQ158" t="s">
        <v>130</v>
      </c>
      <c r="AR158" t="s">
        <v>595</v>
      </c>
      <c r="AT158" t="s">
        <v>648</v>
      </c>
    </row>
    <row r="159" spans="1:47" x14ac:dyDescent="0.25">
      <c r="A159" s="1">
        <v>2717927</v>
      </c>
      <c r="B159" t="s">
        <v>263</v>
      </c>
      <c r="C159">
        <v>540</v>
      </c>
      <c r="D159" t="s">
        <v>1</v>
      </c>
      <c r="E159" s="2">
        <v>46227</v>
      </c>
      <c r="F159" s="2">
        <v>46227</v>
      </c>
      <c r="G159" s="3">
        <v>32</v>
      </c>
      <c r="H159" t="s">
        <v>20</v>
      </c>
      <c r="I159" s="3">
        <v>15200</v>
      </c>
      <c r="J159" t="s">
        <v>39</v>
      </c>
      <c r="K159" t="s">
        <v>4</v>
      </c>
      <c r="L159" t="s">
        <v>30</v>
      </c>
      <c r="M159" t="s">
        <v>6</v>
      </c>
      <c r="N159" t="s">
        <v>264</v>
      </c>
      <c r="O159" t="s">
        <v>7</v>
      </c>
      <c r="Q159" t="b">
        <f t="shared" si="30"/>
        <v>1</v>
      </c>
      <c r="R159" t="b">
        <f t="shared" si="31"/>
        <v>1</v>
      </c>
      <c r="S159" t="b">
        <f t="shared" si="32"/>
        <v>1</v>
      </c>
      <c r="T159" t="b">
        <f t="shared" si="33"/>
        <v>1</v>
      </c>
      <c r="U159" t="b">
        <f t="shared" si="34"/>
        <v>1</v>
      </c>
      <c r="V159" t="b">
        <f t="shared" si="35"/>
        <v>1</v>
      </c>
      <c r="W159" t="b">
        <f t="shared" si="36"/>
        <v>1</v>
      </c>
      <c r="X159" t="b">
        <f t="shared" si="37"/>
        <v>1</v>
      </c>
      <c r="Y159" t="b">
        <f t="shared" si="38"/>
        <v>1</v>
      </c>
      <c r="Z159" t="b">
        <f t="shared" si="39"/>
        <v>1</v>
      </c>
      <c r="AA159" t="b">
        <f t="shared" si="40"/>
        <v>1</v>
      </c>
      <c r="AB159" t="b">
        <f t="shared" si="41"/>
        <v>1</v>
      </c>
      <c r="AC159" t="b">
        <f t="shared" si="42"/>
        <v>1</v>
      </c>
      <c r="AD159" t="b">
        <f t="shared" si="43"/>
        <v>1</v>
      </c>
      <c r="AE159" t="b">
        <f t="shared" si="44"/>
        <v>1</v>
      </c>
      <c r="AG159" s="1">
        <v>2717927</v>
      </c>
      <c r="AH159" t="s">
        <v>740</v>
      </c>
      <c r="AI159">
        <v>540</v>
      </c>
      <c r="AJ159" t="s">
        <v>503</v>
      </c>
      <c r="AK159" s="2">
        <v>46227</v>
      </c>
      <c r="AL159" s="2">
        <v>46227</v>
      </c>
      <c r="AM159" s="3">
        <v>32</v>
      </c>
      <c r="AN159" t="s">
        <v>20</v>
      </c>
      <c r="AO159" s="3">
        <v>15200</v>
      </c>
      <c r="AP159" t="s">
        <v>530</v>
      </c>
      <c r="AR159" t="s">
        <v>521</v>
      </c>
      <c r="AT159" t="s">
        <v>741</v>
      </c>
    </row>
    <row r="160" spans="1:47" x14ac:dyDescent="0.25">
      <c r="A160" s="1">
        <v>2722552</v>
      </c>
      <c r="B160" t="s">
        <v>265</v>
      </c>
      <c r="C160">
        <v>540</v>
      </c>
      <c r="D160" t="s">
        <v>1</v>
      </c>
      <c r="E160" s="2">
        <v>46227</v>
      </c>
      <c r="F160" s="2">
        <v>46227</v>
      </c>
      <c r="G160" s="3">
        <v>1</v>
      </c>
      <c r="H160" t="s">
        <v>11</v>
      </c>
      <c r="I160" s="3">
        <v>2300</v>
      </c>
      <c r="J160" t="s">
        <v>266</v>
      </c>
      <c r="K160" t="s">
        <v>4</v>
      </c>
      <c r="L160" t="s">
        <v>108</v>
      </c>
      <c r="M160" t="s">
        <v>6</v>
      </c>
      <c r="N160" t="s">
        <v>7</v>
      </c>
      <c r="O160" t="s">
        <v>7</v>
      </c>
      <c r="Q160" t="b">
        <f t="shared" si="30"/>
        <v>1</v>
      </c>
      <c r="R160" t="b">
        <f t="shared" si="31"/>
        <v>1</v>
      </c>
      <c r="S160" t="b">
        <f t="shared" si="32"/>
        <v>1</v>
      </c>
      <c r="T160" t="b">
        <f t="shared" si="33"/>
        <v>1</v>
      </c>
      <c r="U160" t="b">
        <f t="shared" si="34"/>
        <v>1</v>
      </c>
      <c r="V160" t="b">
        <f t="shared" si="35"/>
        <v>1</v>
      </c>
      <c r="W160" t="b">
        <f t="shared" si="36"/>
        <v>1</v>
      </c>
      <c r="X160" t="b">
        <f t="shared" si="37"/>
        <v>1</v>
      </c>
      <c r="Y160" t="b">
        <f t="shared" si="38"/>
        <v>1</v>
      </c>
      <c r="Z160" t="b">
        <f t="shared" si="39"/>
        <v>1</v>
      </c>
      <c r="AA160" t="b">
        <f t="shared" si="40"/>
        <v>1</v>
      </c>
      <c r="AB160" t="b">
        <f t="shared" si="41"/>
        <v>1</v>
      </c>
      <c r="AC160" t="b">
        <f t="shared" si="42"/>
        <v>1</v>
      </c>
      <c r="AD160" t="b">
        <f t="shared" si="43"/>
        <v>1</v>
      </c>
      <c r="AE160" t="b">
        <f t="shared" si="44"/>
        <v>1</v>
      </c>
      <c r="AG160" s="1">
        <v>2722552</v>
      </c>
      <c r="AH160" t="s">
        <v>742</v>
      </c>
      <c r="AI160">
        <v>540</v>
      </c>
      <c r="AJ160" t="s">
        <v>503</v>
      </c>
      <c r="AK160" s="2">
        <v>46227</v>
      </c>
      <c r="AL160" s="2">
        <v>46227</v>
      </c>
      <c r="AM160" s="3">
        <v>1</v>
      </c>
      <c r="AN160" t="s">
        <v>11</v>
      </c>
      <c r="AO160" s="3">
        <v>2300</v>
      </c>
      <c r="AP160" t="s">
        <v>743</v>
      </c>
      <c r="AR160" t="s">
        <v>595</v>
      </c>
    </row>
    <row r="161" spans="1:47" x14ac:dyDescent="0.25">
      <c r="A161" s="1">
        <v>2723184</v>
      </c>
      <c r="B161" t="s">
        <v>267</v>
      </c>
      <c r="C161">
        <v>540</v>
      </c>
      <c r="D161" t="s">
        <v>1</v>
      </c>
      <c r="E161" s="2">
        <v>46227</v>
      </c>
      <c r="F161" s="2">
        <v>46227</v>
      </c>
      <c r="G161" s="3">
        <v>4</v>
      </c>
      <c r="H161" t="s">
        <v>11</v>
      </c>
      <c r="I161" s="3">
        <v>10800</v>
      </c>
      <c r="J161" t="s">
        <v>268</v>
      </c>
      <c r="K161" t="s">
        <v>4</v>
      </c>
      <c r="L161" t="s">
        <v>37</v>
      </c>
      <c r="M161" t="s">
        <v>6</v>
      </c>
      <c r="N161" t="s">
        <v>7</v>
      </c>
      <c r="O161" t="s">
        <v>7</v>
      </c>
      <c r="Q161" t="b">
        <f t="shared" si="30"/>
        <v>1</v>
      </c>
      <c r="R161" t="b">
        <f t="shared" si="31"/>
        <v>1</v>
      </c>
      <c r="S161" t="b">
        <f t="shared" si="32"/>
        <v>1</v>
      </c>
      <c r="T161" t="b">
        <f t="shared" si="33"/>
        <v>1</v>
      </c>
      <c r="U161" t="b">
        <f t="shared" si="34"/>
        <v>1</v>
      </c>
      <c r="V161" t="b">
        <f t="shared" si="35"/>
        <v>1</v>
      </c>
      <c r="W161" t="b">
        <f t="shared" si="36"/>
        <v>1</v>
      </c>
      <c r="X161" t="b">
        <f t="shared" si="37"/>
        <v>1</v>
      </c>
      <c r="Y161" t="b">
        <f t="shared" si="38"/>
        <v>1</v>
      </c>
      <c r="Z161" t="b">
        <f t="shared" si="39"/>
        <v>1</v>
      </c>
      <c r="AA161" t="b">
        <f t="shared" si="40"/>
        <v>1</v>
      </c>
      <c r="AB161" t="b">
        <f t="shared" si="41"/>
        <v>1</v>
      </c>
      <c r="AC161" t="b">
        <f t="shared" si="42"/>
        <v>1</v>
      </c>
      <c r="AD161" t="b">
        <f t="shared" si="43"/>
        <v>1</v>
      </c>
      <c r="AE161" t="b">
        <f t="shared" si="44"/>
        <v>1</v>
      </c>
      <c r="AG161" s="1">
        <v>2723184</v>
      </c>
      <c r="AH161" t="s">
        <v>744</v>
      </c>
      <c r="AI161">
        <v>540</v>
      </c>
      <c r="AJ161" t="s">
        <v>503</v>
      </c>
      <c r="AK161" s="2">
        <v>46227</v>
      </c>
      <c r="AL161" s="2">
        <v>46227</v>
      </c>
      <c r="AM161" s="3">
        <v>4</v>
      </c>
      <c r="AN161" t="s">
        <v>11</v>
      </c>
      <c r="AO161" s="3">
        <v>10800</v>
      </c>
      <c r="AP161" t="s">
        <v>745</v>
      </c>
      <c r="AR161" t="s">
        <v>528</v>
      </c>
    </row>
    <row r="162" spans="1:47" x14ac:dyDescent="0.25">
      <c r="A162" s="1">
        <v>2724165</v>
      </c>
      <c r="B162" t="s">
        <v>269</v>
      </c>
      <c r="C162">
        <v>525</v>
      </c>
      <c r="D162" t="s">
        <v>1</v>
      </c>
      <c r="E162" s="2">
        <v>46192</v>
      </c>
      <c r="F162" s="2">
        <v>46227</v>
      </c>
      <c r="G162" s="3">
        <v>2</v>
      </c>
      <c r="H162" t="s">
        <v>20</v>
      </c>
      <c r="I162" s="3">
        <v>900</v>
      </c>
      <c r="J162" t="s">
        <v>270</v>
      </c>
      <c r="K162" t="s">
        <v>130</v>
      </c>
      <c r="L162" t="s">
        <v>37</v>
      </c>
      <c r="M162" t="s">
        <v>6</v>
      </c>
      <c r="N162" t="s">
        <v>7</v>
      </c>
      <c r="O162" t="s">
        <v>7</v>
      </c>
      <c r="Q162" t="b">
        <f t="shared" si="30"/>
        <v>1</v>
      </c>
      <c r="R162" t="b">
        <f t="shared" si="31"/>
        <v>1</v>
      </c>
      <c r="S162" t="b">
        <f t="shared" si="32"/>
        <v>1</v>
      </c>
      <c r="T162" t="b">
        <f t="shared" si="33"/>
        <v>1</v>
      </c>
      <c r="U162" t="b">
        <f t="shared" si="34"/>
        <v>1</v>
      </c>
      <c r="V162" t="b">
        <f t="shared" si="35"/>
        <v>1</v>
      </c>
      <c r="W162" t="b">
        <f t="shared" si="36"/>
        <v>1</v>
      </c>
      <c r="X162" t="b">
        <f t="shared" si="37"/>
        <v>1</v>
      </c>
      <c r="Y162" t="b">
        <f t="shared" si="38"/>
        <v>1</v>
      </c>
      <c r="Z162" t="b">
        <f t="shared" si="39"/>
        <v>1</v>
      </c>
      <c r="AA162" t="b">
        <f t="shared" si="40"/>
        <v>1</v>
      </c>
      <c r="AB162" t="b">
        <f t="shared" si="41"/>
        <v>1</v>
      </c>
      <c r="AC162" t="b">
        <f t="shared" si="42"/>
        <v>1</v>
      </c>
      <c r="AD162" t="b">
        <f t="shared" si="43"/>
        <v>1</v>
      </c>
      <c r="AE162" t="b">
        <f t="shared" si="44"/>
        <v>1</v>
      </c>
      <c r="AG162" s="1">
        <v>2724165</v>
      </c>
      <c r="AH162" t="s">
        <v>269</v>
      </c>
      <c r="AI162">
        <v>525</v>
      </c>
      <c r="AJ162" t="s">
        <v>503</v>
      </c>
      <c r="AK162" s="2">
        <v>46192</v>
      </c>
      <c r="AL162" s="2">
        <v>46227</v>
      </c>
      <c r="AM162" s="3">
        <v>2</v>
      </c>
      <c r="AN162" t="s">
        <v>20</v>
      </c>
      <c r="AO162" s="3">
        <v>900</v>
      </c>
      <c r="AP162" t="s">
        <v>746</v>
      </c>
      <c r="AQ162" t="s">
        <v>130</v>
      </c>
      <c r="AR162" t="s">
        <v>528</v>
      </c>
    </row>
    <row r="163" spans="1:47" x14ac:dyDescent="0.25">
      <c r="A163" s="1">
        <v>2729865</v>
      </c>
      <c r="B163" t="s">
        <v>14</v>
      </c>
      <c r="C163">
        <v>530</v>
      </c>
      <c r="D163" t="s">
        <v>15</v>
      </c>
      <c r="E163" s="2">
        <v>46227</v>
      </c>
      <c r="F163" s="2">
        <v>46227</v>
      </c>
      <c r="G163" s="3">
        <v>44000</v>
      </c>
      <c r="H163" t="s">
        <v>16</v>
      </c>
      <c r="I163" s="3">
        <v>44000</v>
      </c>
      <c r="J163" t="s">
        <v>17</v>
      </c>
      <c r="K163" t="s">
        <v>4</v>
      </c>
      <c r="L163" t="s">
        <v>5</v>
      </c>
      <c r="M163" t="s">
        <v>6</v>
      </c>
      <c r="N163" t="s">
        <v>7</v>
      </c>
      <c r="O163" t="s">
        <v>18</v>
      </c>
      <c r="Q163" t="b">
        <f t="shared" si="30"/>
        <v>1</v>
      </c>
      <c r="R163" t="b">
        <f t="shared" si="31"/>
        <v>1</v>
      </c>
      <c r="S163" t="b">
        <f t="shared" si="32"/>
        <v>1</v>
      </c>
      <c r="T163" t="b">
        <f t="shared" si="33"/>
        <v>1</v>
      </c>
      <c r="U163" t="b">
        <f t="shared" si="34"/>
        <v>1</v>
      </c>
      <c r="V163" t="b">
        <f t="shared" si="35"/>
        <v>1</v>
      </c>
      <c r="W163" t="b">
        <f t="shared" si="36"/>
        <v>1</v>
      </c>
      <c r="X163" t="b">
        <f t="shared" si="37"/>
        <v>1</v>
      </c>
      <c r="Y163" t="b">
        <f t="shared" si="38"/>
        <v>1</v>
      </c>
      <c r="Z163" t="b">
        <f t="shared" si="39"/>
        <v>1</v>
      </c>
      <c r="AA163" t="b">
        <f t="shared" si="40"/>
        <v>1</v>
      </c>
      <c r="AB163" t="b">
        <f t="shared" si="41"/>
        <v>1</v>
      </c>
      <c r="AC163" t="b">
        <f t="shared" si="42"/>
        <v>1</v>
      </c>
      <c r="AD163" t="b">
        <f t="shared" si="43"/>
        <v>1</v>
      </c>
      <c r="AE163" t="b">
        <f t="shared" si="44"/>
        <v>1</v>
      </c>
      <c r="AG163" s="1">
        <v>2729865</v>
      </c>
      <c r="AH163" t="s">
        <v>510</v>
      </c>
      <c r="AI163">
        <v>530</v>
      </c>
      <c r="AJ163" t="s">
        <v>511</v>
      </c>
      <c r="AK163" s="2">
        <v>46227</v>
      </c>
      <c r="AL163" s="2">
        <v>46227</v>
      </c>
      <c r="AM163" s="3">
        <v>44000</v>
      </c>
      <c r="AN163" t="s">
        <v>16</v>
      </c>
      <c r="AO163" s="3">
        <v>44000</v>
      </c>
      <c r="AP163" t="s">
        <v>512</v>
      </c>
      <c r="AR163" t="s">
        <v>505</v>
      </c>
      <c r="AU163" t="s">
        <v>513</v>
      </c>
    </row>
    <row r="164" spans="1:47" x14ac:dyDescent="0.25">
      <c r="A164" s="1">
        <v>2733750</v>
      </c>
      <c r="B164" t="s">
        <v>172</v>
      </c>
      <c r="C164">
        <v>540</v>
      </c>
      <c r="D164" t="s">
        <v>1</v>
      </c>
      <c r="E164" s="2">
        <v>46227</v>
      </c>
      <c r="F164" s="2">
        <v>46227</v>
      </c>
      <c r="G164" s="3">
        <v>12</v>
      </c>
      <c r="H164" t="s">
        <v>20</v>
      </c>
      <c r="I164" s="3">
        <v>5400</v>
      </c>
      <c r="J164" t="s">
        <v>271</v>
      </c>
      <c r="K164" t="s">
        <v>4</v>
      </c>
      <c r="L164" t="s">
        <v>40</v>
      </c>
      <c r="M164" t="s">
        <v>6</v>
      </c>
      <c r="N164" t="s">
        <v>7</v>
      </c>
      <c r="O164" t="s">
        <v>7</v>
      </c>
      <c r="Q164" t="b">
        <f t="shared" si="30"/>
        <v>1</v>
      </c>
      <c r="R164" t="b">
        <f t="shared" si="31"/>
        <v>1</v>
      </c>
      <c r="S164" t="b">
        <f t="shared" si="32"/>
        <v>1</v>
      </c>
      <c r="T164" t="b">
        <f t="shared" si="33"/>
        <v>1</v>
      </c>
      <c r="U164" t="b">
        <f t="shared" si="34"/>
        <v>1</v>
      </c>
      <c r="V164" t="b">
        <f t="shared" si="35"/>
        <v>1</v>
      </c>
      <c r="W164" t="b">
        <f t="shared" si="36"/>
        <v>1</v>
      </c>
      <c r="X164" t="b">
        <f t="shared" si="37"/>
        <v>1</v>
      </c>
      <c r="Y164" t="b">
        <f t="shared" si="38"/>
        <v>1</v>
      </c>
      <c r="Z164" t="b">
        <f t="shared" si="39"/>
        <v>1</v>
      </c>
      <c r="AA164" t="b">
        <f t="shared" si="40"/>
        <v>1</v>
      </c>
      <c r="AB164" t="b">
        <f t="shared" si="41"/>
        <v>1</v>
      </c>
      <c r="AC164" t="b">
        <f t="shared" si="42"/>
        <v>1</v>
      </c>
      <c r="AD164" t="b">
        <f t="shared" si="43"/>
        <v>1</v>
      </c>
      <c r="AE164" t="b">
        <f t="shared" si="44"/>
        <v>1</v>
      </c>
      <c r="AG164" s="1">
        <v>2733750</v>
      </c>
      <c r="AH164" t="s">
        <v>655</v>
      </c>
      <c r="AI164">
        <v>540</v>
      </c>
      <c r="AJ164" t="s">
        <v>503</v>
      </c>
      <c r="AK164" s="2">
        <v>46227</v>
      </c>
      <c r="AL164" s="2">
        <v>46227</v>
      </c>
      <c r="AM164" s="3">
        <v>12</v>
      </c>
      <c r="AN164" t="s">
        <v>20</v>
      </c>
      <c r="AO164" s="3">
        <v>5400</v>
      </c>
      <c r="AP164" t="s">
        <v>747</v>
      </c>
      <c r="AR164" t="s">
        <v>531</v>
      </c>
    </row>
    <row r="165" spans="1:47" x14ac:dyDescent="0.25">
      <c r="A165" s="1">
        <v>2734542</v>
      </c>
      <c r="B165" t="s">
        <v>272</v>
      </c>
      <c r="C165">
        <v>525</v>
      </c>
      <c r="D165" t="s">
        <v>1</v>
      </c>
      <c r="E165" s="2">
        <v>46216</v>
      </c>
      <c r="F165" s="2">
        <v>46227</v>
      </c>
      <c r="G165" s="3">
        <v>1</v>
      </c>
      <c r="H165" t="s">
        <v>20</v>
      </c>
      <c r="I165" s="3">
        <v>450</v>
      </c>
      <c r="J165" t="s">
        <v>273</v>
      </c>
      <c r="K165" t="s">
        <v>130</v>
      </c>
      <c r="L165" t="s">
        <v>37</v>
      </c>
      <c r="M165" t="s">
        <v>6</v>
      </c>
      <c r="N165" t="s">
        <v>7</v>
      </c>
      <c r="O165" t="s">
        <v>7</v>
      </c>
      <c r="Q165" t="b">
        <f t="shared" si="30"/>
        <v>1</v>
      </c>
      <c r="R165" t="b">
        <f t="shared" si="31"/>
        <v>1</v>
      </c>
      <c r="S165" t="b">
        <f t="shared" si="32"/>
        <v>1</v>
      </c>
      <c r="T165" t="b">
        <f t="shared" si="33"/>
        <v>1</v>
      </c>
      <c r="U165" t="b">
        <f t="shared" si="34"/>
        <v>1</v>
      </c>
      <c r="V165" t="b">
        <f t="shared" si="35"/>
        <v>1</v>
      </c>
      <c r="W165" t="b">
        <f t="shared" si="36"/>
        <v>1</v>
      </c>
      <c r="X165" t="b">
        <f t="shared" si="37"/>
        <v>1</v>
      </c>
      <c r="Y165" t="b">
        <f t="shared" si="38"/>
        <v>1</v>
      </c>
      <c r="Z165" t="b">
        <f t="shared" si="39"/>
        <v>1</v>
      </c>
      <c r="AA165" t="b">
        <f t="shared" si="40"/>
        <v>1</v>
      </c>
      <c r="AB165" t="b">
        <f t="shared" si="41"/>
        <v>1</v>
      </c>
      <c r="AC165" t="b">
        <f t="shared" si="42"/>
        <v>1</v>
      </c>
      <c r="AD165" t="b">
        <f t="shared" si="43"/>
        <v>1</v>
      </c>
      <c r="AE165" t="b">
        <f t="shared" si="44"/>
        <v>1</v>
      </c>
      <c r="AG165" s="1">
        <v>2734542</v>
      </c>
      <c r="AH165" t="s">
        <v>748</v>
      </c>
      <c r="AI165">
        <v>525</v>
      </c>
      <c r="AJ165" t="s">
        <v>503</v>
      </c>
      <c r="AK165" s="2">
        <v>46216</v>
      </c>
      <c r="AL165" s="2">
        <v>46227</v>
      </c>
      <c r="AM165" s="3">
        <v>1</v>
      </c>
      <c r="AN165" t="s">
        <v>20</v>
      </c>
      <c r="AO165" s="3">
        <v>450</v>
      </c>
      <c r="AP165" t="s">
        <v>749</v>
      </c>
      <c r="AQ165" t="s">
        <v>130</v>
      </c>
      <c r="AR165" t="s">
        <v>528</v>
      </c>
    </row>
    <row r="166" spans="1:47" x14ac:dyDescent="0.25">
      <c r="A166" s="1">
        <v>2737285</v>
      </c>
      <c r="B166" t="s">
        <v>274</v>
      </c>
      <c r="C166">
        <v>540</v>
      </c>
      <c r="D166" t="s">
        <v>1</v>
      </c>
      <c r="E166" s="2">
        <v>46211</v>
      </c>
      <c r="F166" s="2">
        <v>46227</v>
      </c>
      <c r="G166" s="3">
        <v>2</v>
      </c>
      <c r="H166" t="s">
        <v>51</v>
      </c>
      <c r="I166" s="3">
        <v>1920</v>
      </c>
      <c r="J166" t="s">
        <v>52</v>
      </c>
      <c r="K166" t="s">
        <v>4</v>
      </c>
      <c r="L166" t="s">
        <v>37</v>
      </c>
      <c r="M166" t="s">
        <v>6</v>
      </c>
      <c r="N166" t="s">
        <v>7</v>
      </c>
      <c r="O166" t="s">
        <v>175</v>
      </c>
      <c r="Q166" t="b">
        <f t="shared" si="30"/>
        <v>1</v>
      </c>
      <c r="R166" t="b">
        <f t="shared" si="31"/>
        <v>1</v>
      </c>
      <c r="S166" t="b">
        <f t="shared" si="32"/>
        <v>1</v>
      </c>
      <c r="T166" t="b">
        <f t="shared" si="33"/>
        <v>1</v>
      </c>
      <c r="U166" t="b">
        <f t="shared" si="34"/>
        <v>1</v>
      </c>
      <c r="V166" t="b">
        <f t="shared" si="35"/>
        <v>1</v>
      </c>
      <c r="W166" t="b">
        <f t="shared" si="36"/>
        <v>1</v>
      </c>
      <c r="X166" t="b">
        <f t="shared" si="37"/>
        <v>1</v>
      </c>
      <c r="Y166" t="b">
        <f t="shared" si="38"/>
        <v>1</v>
      </c>
      <c r="Z166" t="b">
        <f t="shared" si="39"/>
        <v>1</v>
      </c>
      <c r="AA166" t="b">
        <f t="shared" si="40"/>
        <v>1</v>
      </c>
      <c r="AB166" t="b">
        <f t="shared" si="41"/>
        <v>1</v>
      </c>
      <c r="AC166" t="b">
        <f t="shared" si="42"/>
        <v>1</v>
      </c>
      <c r="AD166" t="b">
        <f t="shared" si="43"/>
        <v>1</v>
      </c>
      <c r="AE166" t="b">
        <f t="shared" si="44"/>
        <v>1</v>
      </c>
      <c r="AG166" s="1">
        <v>2737285</v>
      </c>
      <c r="AH166" t="s">
        <v>750</v>
      </c>
      <c r="AI166">
        <v>540</v>
      </c>
      <c r="AJ166" t="s">
        <v>503</v>
      </c>
      <c r="AK166" s="2">
        <v>46211</v>
      </c>
      <c r="AL166" s="2">
        <v>46227</v>
      </c>
      <c r="AM166" s="3">
        <v>2</v>
      </c>
      <c r="AN166" t="s">
        <v>51</v>
      </c>
      <c r="AO166" s="3">
        <v>1920</v>
      </c>
      <c r="AP166" t="s">
        <v>540</v>
      </c>
      <c r="AR166" t="s">
        <v>528</v>
      </c>
      <c r="AU166" t="s">
        <v>658</v>
      </c>
    </row>
    <row r="167" spans="1:47" x14ac:dyDescent="0.25">
      <c r="A167" s="1">
        <v>2737285</v>
      </c>
      <c r="B167" t="s">
        <v>274</v>
      </c>
      <c r="C167">
        <v>540</v>
      </c>
      <c r="D167" t="s">
        <v>1</v>
      </c>
      <c r="E167" s="2">
        <v>46211</v>
      </c>
      <c r="F167" s="2">
        <v>46227</v>
      </c>
      <c r="G167" s="3">
        <v>8</v>
      </c>
      <c r="H167" t="s">
        <v>2</v>
      </c>
      <c r="I167" s="3">
        <v>320</v>
      </c>
      <c r="J167" t="s">
        <v>3</v>
      </c>
      <c r="K167" t="s">
        <v>4</v>
      </c>
      <c r="L167" t="s">
        <v>37</v>
      </c>
      <c r="M167" t="s">
        <v>6</v>
      </c>
      <c r="N167" t="s">
        <v>7</v>
      </c>
      <c r="O167" t="s">
        <v>175</v>
      </c>
      <c r="Q167" t="b">
        <f t="shared" si="30"/>
        <v>1</v>
      </c>
      <c r="R167" t="b">
        <f t="shared" si="31"/>
        <v>1</v>
      </c>
      <c r="S167" t="b">
        <f t="shared" si="32"/>
        <v>1</v>
      </c>
      <c r="T167" t="b">
        <f t="shared" si="33"/>
        <v>1</v>
      </c>
      <c r="U167" t="b">
        <f t="shared" si="34"/>
        <v>1</v>
      </c>
      <c r="V167" t="b">
        <f t="shared" si="35"/>
        <v>1</v>
      </c>
      <c r="W167" t="b">
        <f t="shared" si="36"/>
        <v>1</v>
      </c>
      <c r="X167" t="b">
        <f t="shared" si="37"/>
        <v>1</v>
      </c>
      <c r="Y167" t="b">
        <f t="shared" si="38"/>
        <v>1</v>
      </c>
      <c r="Z167" t="b">
        <f t="shared" si="39"/>
        <v>1</v>
      </c>
      <c r="AA167" t="b">
        <f t="shared" si="40"/>
        <v>1</v>
      </c>
      <c r="AB167" t="b">
        <f t="shared" si="41"/>
        <v>1</v>
      </c>
      <c r="AC167" t="b">
        <f t="shared" si="42"/>
        <v>1</v>
      </c>
      <c r="AD167" t="b">
        <f t="shared" si="43"/>
        <v>1</v>
      </c>
      <c r="AE167" t="b">
        <f t="shared" si="44"/>
        <v>1</v>
      </c>
      <c r="AG167" s="1">
        <v>2737285</v>
      </c>
      <c r="AH167" t="s">
        <v>750</v>
      </c>
      <c r="AI167">
        <v>540</v>
      </c>
      <c r="AJ167" t="s">
        <v>503</v>
      </c>
      <c r="AK167" s="2">
        <v>46211</v>
      </c>
      <c r="AL167" s="2">
        <v>46227</v>
      </c>
      <c r="AM167" s="3">
        <v>8</v>
      </c>
      <c r="AN167" t="s">
        <v>2</v>
      </c>
      <c r="AO167" s="3">
        <v>320</v>
      </c>
      <c r="AP167" t="s">
        <v>504</v>
      </c>
      <c r="AR167" t="s">
        <v>528</v>
      </c>
      <c r="AU167" t="s">
        <v>658</v>
      </c>
    </row>
    <row r="168" spans="1:47" x14ac:dyDescent="0.25">
      <c r="A168" s="1">
        <v>2737285</v>
      </c>
      <c r="B168" t="s">
        <v>274</v>
      </c>
      <c r="C168">
        <v>540</v>
      </c>
      <c r="D168" t="s">
        <v>1</v>
      </c>
      <c r="E168" s="2">
        <v>46211</v>
      </c>
      <c r="F168" s="2">
        <v>46227</v>
      </c>
      <c r="G168" s="3">
        <v>1</v>
      </c>
      <c r="H168" t="s">
        <v>51</v>
      </c>
      <c r="I168" s="3">
        <v>1056</v>
      </c>
      <c r="J168" t="s">
        <v>54</v>
      </c>
      <c r="K168" t="s">
        <v>4</v>
      </c>
      <c r="L168" t="s">
        <v>37</v>
      </c>
      <c r="M168" t="s">
        <v>6</v>
      </c>
      <c r="N168" t="s">
        <v>7</v>
      </c>
      <c r="O168" t="s">
        <v>175</v>
      </c>
      <c r="Q168" t="b">
        <f t="shared" si="30"/>
        <v>1</v>
      </c>
      <c r="R168" t="b">
        <f t="shared" si="31"/>
        <v>1</v>
      </c>
      <c r="S168" t="b">
        <f t="shared" si="32"/>
        <v>1</v>
      </c>
      <c r="T168" t="b">
        <f t="shared" si="33"/>
        <v>1</v>
      </c>
      <c r="U168" t="b">
        <f t="shared" si="34"/>
        <v>1</v>
      </c>
      <c r="V168" t="b">
        <f t="shared" si="35"/>
        <v>1</v>
      </c>
      <c r="W168" t="b">
        <f t="shared" si="36"/>
        <v>1</v>
      </c>
      <c r="X168" t="b">
        <f t="shared" si="37"/>
        <v>1</v>
      </c>
      <c r="Y168" t="b">
        <f t="shared" si="38"/>
        <v>1</v>
      </c>
      <c r="Z168" t="b">
        <f t="shared" si="39"/>
        <v>1</v>
      </c>
      <c r="AA168" t="b">
        <f t="shared" si="40"/>
        <v>1</v>
      </c>
      <c r="AB168" t="b">
        <f t="shared" si="41"/>
        <v>1</v>
      </c>
      <c r="AC168" t="b">
        <f t="shared" si="42"/>
        <v>1</v>
      </c>
      <c r="AD168" t="b">
        <f t="shared" si="43"/>
        <v>1</v>
      </c>
      <c r="AE168" t="b">
        <f t="shared" si="44"/>
        <v>1</v>
      </c>
      <c r="AG168" s="1">
        <v>2737285</v>
      </c>
      <c r="AH168" t="s">
        <v>750</v>
      </c>
      <c r="AI168">
        <v>540</v>
      </c>
      <c r="AJ168" t="s">
        <v>503</v>
      </c>
      <c r="AK168" s="2">
        <v>46211</v>
      </c>
      <c r="AL168" s="2">
        <v>46227</v>
      </c>
      <c r="AM168" s="3">
        <v>1</v>
      </c>
      <c r="AN168" t="s">
        <v>51</v>
      </c>
      <c r="AO168" s="3">
        <v>1056</v>
      </c>
      <c r="AP168" t="s">
        <v>542</v>
      </c>
      <c r="AR168" t="s">
        <v>528</v>
      </c>
      <c r="AU168" t="s">
        <v>658</v>
      </c>
    </row>
    <row r="169" spans="1:47" x14ac:dyDescent="0.25">
      <c r="A169" s="1">
        <v>2737285</v>
      </c>
      <c r="B169" t="s">
        <v>274</v>
      </c>
      <c r="C169">
        <v>540</v>
      </c>
      <c r="D169" t="s">
        <v>1</v>
      </c>
      <c r="E169" s="2">
        <v>46211</v>
      </c>
      <c r="F169" s="2">
        <v>46227</v>
      </c>
      <c r="G169" s="3">
        <v>8</v>
      </c>
      <c r="H169" t="s">
        <v>2</v>
      </c>
      <c r="I169" s="3">
        <v>280</v>
      </c>
      <c r="J169" t="s">
        <v>275</v>
      </c>
      <c r="K169" t="s">
        <v>4</v>
      </c>
      <c r="L169" t="s">
        <v>37</v>
      </c>
      <c r="M169" t="s">
        <v>6</v>
      </c>
      <c r="N169" t="s">
        <v>7</v>
      </c>
      <c r="O169" t="s">
        <v>175</v>
      </c>
      <c r="Q169" t="b">
        <f t="shared" si="30"/>
        <v>1</v>
      </c>
      <c r="R169" t="b">
        <f t="shared" si="31"/>
        <v>1</v>
      </c>
      <c r="S169" t="b">
        <f t="shared" si="32"/>
        <v>1</v>
      </c>
      <c r="T169" t="b">
        <f t="shared" si="33"/>
        <v>1</v>
      </c>
      <c r="U169" t="b">
        <f t="shared" si="34"/>
        <v>1</v>
      </c>
      <c r="V169" t="b">
        <f t="shared" si="35"/>
        <v>1</v>
      </c>
      <c r="W169" t="b">
        <f t="shared" si="36"/>
        <v>1</v>
      </c>
      <c r="X169" t="b">
        <f t="shared" si="37"/>
        <v>1</v>
      </c>
      <c r="Y169" t="b">
        <f t="shared" si="38"/>
        <v>1</v>
      </c>
      <c r="Z169" t="b">
        <f t="shared" si="39"/>
        <v>1</v>
      </c>
      <c r="AA169" t="b">
        <f t="shared" si="40"/>
        <v>1</v>
      </c>
      <c r="AB169" t="b">
        <f t="shared" si="41"/>
        <v>1</v>
      </c>
      <c r="AC169" t="b">
        <f t="shared" si="42"/>
        <v>1</v>
      </c>
      <c r="AD169" t="b">
        <f t="shared" si="43"/>
        <v>1</v>
      </c>
      <c r="AE169" t="b">
        <f t="shared" si="44"/>
        <v>1</v>
      </c>
      <c r="AG169" s="1">
        <v>2737285</v>
      </c>
      <c r="AH169" t="s">
        <v>750</v>
      </c>
      <c r="AI169">
        <v>540</v>
      </c>
      <c r="AJ169" t="s">
        <v>503</v>
      </c>
      <c r="AK169" s="2">
        <v>46211</v>
      </c>
      <c r="AL169" s="2">
        <v>46227</v>
      </c>
      <c r="AM169" s="3">
        <v>8</v>
      </c>
      <c r="AN169" t="s">
        <v>2</v>
      </c>
      <c r="AO169" s="3">
        <v>280</v>
      </c>
      <c r="AP169" t="s">
        <v>751</v>
      </c>
      <c r="AR169" t="s">
        <v>528</v>
      </c>
      <c r="AU169" t="s">
        <v>658</v>
      </c>
    </row>
    <row r="170" spans="1:47" x14ac:dyDescent="0.25">
      <c r="A170" s="1">
        <v>2737285</v>
      </c>
      <c r="B170" t="s">
        <v>274</v>
      </c>
      <c r="C170">
        <v>540</v>
      </c>
      <c r="D170" t="s">
        <v>1</v>
      </c>
      <c r="E170" s="2">
        <v>46211</v>
      </c>
      <c r="F170" s="2">
        <v>46227</v>
      </c>
      <c r="G170" s="3">
        <v>11</v>
      </c>
      <c r="H170" t="s">
        <v>8</v>
      </c>
      <c r="I170" s="3">
        <v>484</v>
      </c>
      <c r="J170" t="s">
        <v>178</v>
      </c>
      <c r="K170" t="s">
        <v>4</v>
      </c>
      <c r="L170" t="s">
        <v>37</v>
      </c>
      <c r="M170" t="s">
        <v>6</v>
      </c>
      <c r="N170" t="s">
        <v>7</v>
      </c>
      <c r="O170" t="s">
        <v>175</v>
      </c>
      <c r="Q170" t="b">
        <f t="shared" si="30"/>
        <v>1</v>
      </c>
      <c r="R170" t="b">
        <f t="shared" si="31"/>
        <v>1</v>
      </c>
      <c r="S170" t="b">
        <f t="shared" si="32"/>
        <v>1</v>
      </c>
      <c r="T170" t="b">
        <f t="shared" si="33"/>
        <v>1</v>
      </c>
      <c r="U170" t="b">
        <f t="shared" si="34"/>
        <v>1</v>
      </c>
      <c r="V170" t="b">
        <f t="shared" si="35"/>
        <v>1</v>
      </c>
      <c r="W170" t="b">
        <f t="shared" si="36"/>
        <v>1</v>
      </c>
      <c r="X170" t="b">
        <f t="shared" si="37"/>
        <v>1</v>
      </c>
      <c r="Y170" t="b">
        <f t="shared" si="38"/>
        <v>1</v>
      </c>
      <c r="Z170" t="b">
        <f t="shared" si="39"/>
        <v>1</v>
      </c>
      <c r="AA170" t="b">
        <f t="shared" si="40"/>
        <v>1</v>
      </c>
      <c r="AB170" t="b">
        <f t="shared" si="41"/>
        <v>1</v>
      </c>
      <c r="AC170" t="b">
        <f t="shared" si="42"/>
        <v>1</v>
      </c>
      <c r="AD170" t="b">
        <f t="shared" si="43"/>
        <v>1</v>
      </c>
      <c r="AE170" t="b">
        <f t="shared" si="44"/>
        <v>1</v>
      </c>
      <c r="AG170" s="1">
        <v>2737285</v>
      </c>
      <c r="AH170" t="s">
        <v>750</v>
      </c>
      <c r="AI170">
        <v>540</v>
      </c>
      <c r="AJ170" t="s">
        <v>503</v>
      </c>
      <c r="AK170" s="2">
        <v>46211</v>
      </c>
      <c r="AL170" s="2">
        <v>46227</v>
      </c>
      <c r="AM170" s="3">
        <v>11</v>
      </c>
      <c r="AN170" t="s">
        <v>8</v>
      </c>
      <c r="AO170" s="3">
        <v>484</v>
      </c>
      <c r="AP170" t="s">
        <v>660</v>
      </c>
      <c r="AR170" t="s">
        <v>528</v>
      </c>
      <c r="AU170" t="s">
        <v>658</v>
      </c>
    </row>
    <row r="171" spans="1:47" x14ac:dyDescent="0.25">
      <c r="A171" s="1">
        <v>2737510</v>
      </c>
      <c r="B171" t="s">
        <v>50</v>
      </c>
      <c r="C171">
        <v>540</v>
      </c>
      <c r="D171" t="s">
        <v>1</v>
      </c>
      <c r="E171" s="2">
        <v>46209</v>
      </c>
      <c r="F171" s="2">
        <v>46227</v>
      </c>
      <c r="G171" s="3">
        <v>1</v>
      </c>
      <c r="H171" t="s">
        <v>51</v>
      </c>
      <c r="I171" s="3">
        <v>960</v>
      </c>
      <c r="J171" t="s">
        <v>52</v>
      </c>
      <c r="K171" t="s">
        <v>4</v>
      </c>
      <c r="L171" t="s">
        <v>37</v>
      </c>
      <c r="M171" t="s">
        <v>6</v>
      </c>
      <c r="N171" t="s">
        <v>7</v>
      </c>
      <c r="O171" t="s">
        <v>53</v>
      </c>
      <c r="Q171" t="b">
        <f t="shared" si="30"/>
        <v>1</v>
      </c>
      <c r="R171" t="b">
        <f t="shared" si="31"/>
        <v>1</v>
      </c>
      <c r="S171" t="b">
        <f t="shared" si="32"/>
        <v>1</v>
      </c>
      <c r="T171" t="b">
        <f t="shared" si="33"/>
        <v>1</v>
      </c>
      <c r="U171" t="b">
        <f t="shared" si="34"/>
        <v>1</v>
      </c>
      <c r="V171" t="b">
        <f t="shared" si="35"/>
        <v>1</v>
      </c>
      <c r="W171" t="b">
        <f t="shared" si="36"/>
        <v>1</v>
      </c>
      <c r="X171" t="b">
        <f t="shared" si="37"/>
        <v>1</v>
      </c>
      <c r="Y171" t="b">
        <f t="shared" si="38"/>
        <v>1</v>
      </c>
      <c r="Z171" t="b">
        <f t="shared" si="39"/>
        <v>1</v>
      </c>
      <c r="AA171" t="b">
        <f t="shared" si="40"/>
        <v>1</v>
      </c>
      <c r="AB171" t="b">
        <f t="shared" si="41"/>
        <v>1</v>
      </c>
      <c r="AC171" t="b">
        <f t="shared" si="42"/>
        <v>1</v>
      </c>
      <c r="AD171" t="b">
        <f t="shared" si="43"/>
        <v>1</v>
      </c>
      <c r="AE171" t="b">
        <f t="shared" si="44"/>
        <v>1</v>
      </c>
      <c r="AG171" s="1">
        <v>2737510</v>
      </c>
      <c r="AH171" t="s">
        <v>539</v>
      </c>
      <c r="AI171">
        <v>540</v>
      </c>
      <c r="AJ171" t="s">
        <v>503</v>
      </c>
      <c r="AK171" s="2">
        <v>46209</v>
      </c>
      <c r="AL171" s="2">
        <v>46227</v>
      </c>
      <c r="AM171" s="3">
        <v>1</v>
      </c>
      <c r="AN171" t="s">
        <v>51</v>
      </c>
      <c r="AO171" s="3">
        <v>960</v>
      </c>
      <c r="AP171" t="s">
        <v>540</v>
      </c>
      <c r="AR171" t="s">
        <v>528</v>
      </c>
      <c r="AU171" t="s">
        <v>541</v>
      </c>
    </row>
    <row r="172" spans="1:47" x14ac:dyDescent="0.25">
      <c r="A172" s="1">
        <v>2737510</v>
      </c>
      <c r="B172" t="s">
        <v>50</v>
      </c>
      <c r="C172">
        <v>540</v>
      </c>
      <c r="D172" t="s">
        <v>1</v>
      </c>
      <c r="E172" s="2">
        <v>46209</v>
      </c>
      <c r="F172" s="2">
        <v>46227</v>
      </c>
      <c r="G172" s="3">
        <v>1</v>
      </c>
      <c r="H172" t="s">
        <v>51</v>
      </c>
      <c r="I172" s="3">
        <v>1056</v>
      </c>
      <c r="J172" t="s">
        <v>55</v>
      </c>
      <c r="K172" t="s">
        <v>4</v>
      </c>
      <c r="L172" t="s">
        <v>37</v>
      </c>
      <c r="M172" t="s">
        <v>6</v>
      </c>
      <c r="N172" t="s">
        <v>7</v>
      </c>
      <c r="O172" t="s">
        <v>53</v>
      </c>
      <c r="Q172" t="b">
        <f t="shared" si="30"/>
        <v>1</v>
      </c>
      <c r="R172" t="b">
        <f t="shared" si="31"/>
        <v>1</v>
      </c>
      <c r="S172" t="b">
        <f t="shared" si="32"/>
        <v>1</v>
      </c>
      <c r="T172" t="b">
        <f t="shared" si="33"/>
        <v>1</v>
      </c>
      <c r="U172" t="b">
        <f t="shared" si="34"/>
        <v>1</v>
      </c>
      <c r="V172" t="b">
        <f t="shared" si="35"/>
        <v>1</v>
      </c>
      <c r="W172" t="b">
        <f t="shared" si="36"/>
        <v>1</v>
      </c>
      <c r="X172" t="b">
        <f t="shared" si="37"/>
        <v>1</v>
      </c>
      <c r="Y172" t="b">
        <f t="shared" si="38"/>
        <v>1</v>
      </c>
      <c r="Z172" t="b">
        <f t="shared" si="39"/>
        <v>1</v>
      </c>
      <c r="AA172" t="b">
        <f t="shared" si="40"/>
        <v>1</v>
      </c>
      <c r="AB172" t="b">
        <f t="shared" si="41"/>
        <v>1</v>
      </c>
      <c r="AC172" t="b">
        <f t="shared" si="42"/>
        <v>1</v>
      </c>
      <c r="AD172" t="b">
        <f t="shared" si="43"/>
        <v>1</v>
      </c>
      <c r="AE172" t="b">
        <f t="shared" si="44"/>
        <v>1</v>
      </c>
      <c r="AG172" s="1">
        <v>2737510</v>
      </c>
      <c r="AH172" t="s">
        <v>539</v>
      </c>
      <c r="AI172">
        <v>540</v>
      </c>
      <c r="AJ172" t="s">
        <v>503</v>
      </c>
      <c r="AK172" s="2">
        <v>46209</v>
      </c>
      <c r="AL172" s="2">
        <v>46227</v>
      </c>
      <c r="AM172" s="3">
        <v>1</v>
      </c>
      <c r="AN172" t="s">
        <v>51</v>
      </c>
      <c r="AO172" s="3">
        <v>1056</v>
      </c>
      <c r="AP172" t="s">
        <v>543</v>
      </c>
      <c r="AR172" t="s">
        <v>528</v>
      </c>
      <c r="AU172" t="s">
        <v>541</v>
      </c>
    </row>
    <row r="173" spans="1:47" x14ac:dyDescent="0.25">
      <c r="A173" s="1">
        <v>2737510</v>
      </c>
      <c r="B173" t="s">
        <v>50</v>
      </c>
      <c r="C173">
        <v>540</v>
      </c>
      <c r="D173" t="s">
        <v>1</v>
      </c>
      <c r="E173" s="2">
        <v>46209</v>
      </c>
      <c r="F173" s="2">
        <v>46227</v>
      </c>
      <c r="G173" s="3">
        <v>2</v>
      </c>
      <c r="H173" t="s">
        <v>51</v>
      </c>
      <c r="I173" s="3">
        <v>2112</v>
      </c>
      <c r="J173" t="s">
        <v>276</v>
      </c>
      <c r="K173" t="s">
        <v>4</v>
      </c>
      <c r="L173" t="s">
        <v>37</v>
      </c>
      <c r="M173" t="s">
        <v>6</v>
      </c>
      <c r="N173" t="s">
        <v>7</v>
      </c>
      <c r="O173" t="s">
        <v>53</v>
      </c>
      <c r="Q173" t="b">
        <f t="shared" si="30"/>
        <v>1</v>
      </c>
      <c r="R173" t="b">
        <f t="shared" si="31"/>
        <v>1</v>
      </c>
      <c r="S173" t="b">
        <f t="shared" si="32"/>
        <v>1</v>
      </c>
      <c r="T173" t="b">
        <f t="shared" si="33"/>
        <v>1</v>
      </c>
      <c r="U173" t="b">
        <f t="shared" si="34"/>
        <v>1</v>
      </c>
      <c r="V173" t="b">
        <f t="shared" si="35"/>
        <v>1</v>
      </c>
      <c r="W173" t="b">
        <f t="shared" si="36"/>
        <v>1</v>
      </c>
      <c r="X173" t="b">
        <f t="shared" si="37"/>
        <v>1</v>
      </c>
      <c r="Y173" t="b">
        <f t="shared" si="38"/>
        <v>1</v>
      </c>
      <c r="Z173" t="b">
        <f t="shared" si="39"/>
        <v>1</v>
      </c>
      <c r="AA173" t="b">
        <f t="shared" si="40"/>
        <v>1</v>
      </c>
      <c r="AB173" t="b">
        <f t="shared" si="41"/>
        <v>1</v>
      </c>
      <c r="AC173" t="b">
        <f t="shared" si="42"/>
        <v>1</v>
      </c>
      <c r="AD173" t="b">
        <f t="shared" si="43"/>
        <v>1</v>
      </c>
      <c r="AE173" t="b">
        <f t="shared" si="44"/>
        <v>1</v>
      </c>
      <c r="AG173" s="1">
        <v>2737510</v>
      </c>
      <c r="AH173" t="s">
        <v>539</v>
      </c>
      <c r="AI173">
        <v>540</v>
      </c>
      <c r="AJ173" t="s">
        <v>503</v>
      </c>
      <c r="AK173" s="2">
        <v>46209</v>
      </c>
      <c r="AL173" s="2">
        <v>46227</v>
      </c>
      <c r="AM173" s="3">
        <v>2</v>
      </c>
      <c r="AN173" t="s">
        <v>51</v>
      </c>
      <c r="AO173" s="3">
        <v>2112</v>
      </c>
      <c r="AP173" t="s">
        <v>752</v>
      </c>
      <c r="AR173" t="s">
        <v>528</v>
      </c>
      <c r="AU173" t="s">
        <v>541</v>
      </c>
    </row>
    <row r="174" spans="1:47" x14ac:dyDescent="0.25">
      <c r="A174" s="1">
        <v>2738227</v>
      </c>
      <c r="B174" t="s">
        <v>14</v>
      </c>
      <c r="C174">
        <v>530</v>
      </c>
      <c r="D174" t="s">
        <v>15</v>
      </c>
      <c r="E174" s="2">
        <v>46227</v>
      </c>
      <c r="F174" s="2">
        <v>46227</v>
      </c>
      <c r="G174" s="3">
        <v>44000</v>
      </c>
      <c r="H174" t="s">
        <v>16</v>
      </c>
      <c r="I174" s="3">
        <v>44000</v>
      </c>
      <c r="J174" t="s">
        <v>17</v>
      </c>
      <c r="K174" t="s">
        <v>4</v>
      </c>
      <c r="L174" t="s">
        <v>5</v>
      </c>
      <c r="M174" t="s">
        <v>6</v>
      </c>
      <c r="N174" t="s">
        <v>7</v>
      </c>
      <c r="O174" t="s">
        <v>18</v>
      </c>
      <c r="Q174" t="b">
        <f t="shared" si="30"/>
        <v>1</v>
      </c>
      <c r="R174" t="b">
        <f t="shared" si="31"/>
        <v>1</v>
      </c>
      <c r="S174" t="b">
        <f t="shared" si="32"/>
        <v>1</v>
      </c>
      <c r="T174" t="b">
        <f t="shared" si="33"/>
        <v>1</v>
      </c>
      <c r="U174" t="b">
        <f t="shared" si="34"/>
        <v>1</v>
      </c>
      <c r="V174" t="b">
        <f t="shared" si="35"/>
        <v>1</v>
      </c>
      <c r="W174" t="b">
        <f t="shared" si="36"/>
        <v>1</v>
      </c>
      <c r="X174" t="b">
        <f t="shared" si="37"/>
        <v>1</v>
      </c>
      <c r="Y174" t="b">
        <f t="shared" si="38"/>
        <v>1</v>
      </c>
      <c r="Z174" t="b">
        <f t="shared" si="39"/>
        <v>1</v>
      </c>
      <c r="AA174" t="b">
        <f t="shared" si="40"/>
        <v>1</v>
      </c>
      <c r="AB174" t="b">
        <f t="shared" si="41"/>
        <v>1</v>
      </c>
      <c r="AC174" t="b">
        <f t="shared" si="42"/>
        <v>1</v>
      </c>
      <c r="AD174" t="b">
        <f t="shared" si="43"/>
        <v>1</v>
      </c>
      <c r="AE174" t="b">
        <f t="shared" si="44"/>
        <v>1</v>
      </c>
      <c r="AG174" s="1">
        <v>2738227</v>
      </c>
      <c r="AH174" t="s">
        <v>510</v>
      </c>
      <c r="AI174">
        <v>530</v>
      </c>
      <c r="AJ174" t="s">
        <v>511</v>
      </c>
      <c r="AK174" s="2">
        <v>46227</v>
      </c>
      <c r="AL174" s="2">
        <v>46227</v>
      </c>
      <c r="AM174" s="3">
        <v>44000</v>
      </c>
      <c r="AN174" t="s">
        <v>16</v>
      </c>
      <c r="AO174" s="3">
        <v>44000</v>
      </c>
      <c r="AP174" t="s">
        <v>512</v>
      </c>
      <c r="AR174" t="s">
        <v>505</v>
      </c>
      <c r="AU174" t="s">
        <v>513</v>
      </c>
    </row>
    <row r="175" spans="1:47" x14ac:dyDescent="0.25">
      <c r="A175" s="1">
        <v>2738244</v>
      </c>
      <c r="B175" t="s">
        <v>277</v>
      </c>
      <c r="C175">
        <v>540</v>
      </c>
      <c r="D175" t="s">
        <v>1</v>
      </c>
      <c r="E175" s="2">
        <v>46227</v>
      </c>
      <c r="F175" s="2">
        <v>46227</v>
      </c>
      <c r="G175" s="3">
        <v>12</v>
      </c>
      <c r="H175" t="s">
        <v>20</v>
      </c>
      <c r="I175" s="3">
        <v>5700</v>
      </c>
      <c r="J175" t="s">
        <v>278</v>
      </c>
      <c r="K175" t="s">
        <v>4</v>
      </c>
      <c r="L175" t="s">
        <v>279</v>
      </c>
      <c r="M175" t="s">
        <v>6</v>
      </c>
      <c r="N175" t="s">
        <v>7</v>
      </c>
      <c r="O175" t="s">
        <v>7</v>
      </c>
      <c r="Q175" t="b">
        <f t="shared" si="30"/>
        <v>1</v>
      </c>
      <c r="R175" t="b">
        <f t="shared" si="31"/>
        <v>1</v>
      </c>
      <c r="S175" t="b">
        <f t="shared" si="32"/>
        <v>1</v>
      </c>
      <c r="T175" t="b">
        <f t="shared" si="33"/>
        <v>1</v>
      </c>
      <c r="U175" t="b">
        <f t="shared" si="34"/>
        <v>1</v>
      </c>
      <c r="V175" t="b">
        <f t="shared" si="35"/>
        <v>1</v>
      </c>
      <c r="W175" t="b">
        <f t="shared" si="36"/>
        <v>1</v>
      </c>
      <c r="X175" t="b">
        <f t="shared" si="37"/>
        <v>1</v>
      </c>
      <c r="Y175" t="b">
        <f t="shared" si="38"/>
        <v>1</v>
      </c>
      <c r="Z175" t="b">
        <f t="shared" si="39"/>
        <v>1</v>
      </c>
      <c r="AA175" t="b">
        <f t="shared" si="40"/>
        <v>1</v>
      </c>
      <c r="AB175" t="b">
        <f t="shared" si="41"/>
        <v>1</v>
      </c>
      <c r="AC175" t="b">
        <f t="shared" si="42"/>
        <v>1</v>
      </c>
      <c r="AD175" t="b">
        <f t="shared" si="43"/>
        <v>1</v>
      </c>
      <c r="AE175" t="b">
        <f t="shared" si="44"/>
        <v>1</v>
      </c>
      <c r="AG175" s="1">
        <v>2738244</v>
      </c>
      <c r="AH175" t="s">
        <v>753</v>
      </c>
      <c r="AI175">
        <v>540</v>
      </c>
      <c r="AJ175" t="s">
        <v>503</v>
      </c>
      <c r="AK175" s="2">
        <v>46227</v>
      </c>
      <c r="AL175" s="2">
        <v>46227</v>
      </c>
      <c r="AM175" s="3">
        <v>12</v>
      </c>
      <c r="AN175" t="s">
        <v>20</v>
      </c>
      <c r="AO175" s="3">
        <v>5700</v>
      </c>
      <c r="AP175" t="s">
        <v>754</v>
      </c>
      <c r="AR175" t="s">
        <v>755</v>
      </c>
    </row>
    <row r="176" spans="1:47" x14ac:dyDescent="0.25">
      <c r="A176" s="1">
        <v>2740445</v>
      </c>
      <c r="B176" t="s">
        <v>280</v>
      </c>
      <c r="C176">
        <v>540</v>
      </c>
      <c r="D176" t="s">
        <v>1</v>
      </c>
      <c r="E176" s="2">
        <v>46227</v>
      </c>
      <c r="F176" s="2">
        <v>46227</v>
      </c>
      <c r="G176" s="3">
        <v>15</v>
      </c>
      <c r="H176" t="s">
        <v>20</v>
      </c>
      <c r="I176" s="3">
        <v>7050</v>
      </c>
      <c r="J176" t="s">
        <v>256</v>
      </c>
      <c r="K176" t="s">
        <v>4</v>
      </c>
      <c r="L176" t="s">
        <v>108</v>
      </c>
      <c r="M176" t="s">
        <v>6</v>
      </c>
      <c r="N176" t="s">
        <v>281</v>
      </c>
      <c r="O176" t="s">
        <v>7</v>
      </c>
      <c r="Q176" t="b">
        <f t="shared" si="30"/>
        <v>1</v>
      </c>
      <c r="R176" t="b">
        <f t="shared" si="31"/>
        <v>1</v>
      </c>
      <c r="S176" t="b">
        <f t="shared" si="32"/>
        <v>1</v>
      </c>
      <c r="T176" t="b">
        <f t="shared" si="33"/>
        <v>1</v>
      </c>
      <c r="U176" t="b">
        <f t="shared" si="34"/>
        <v>1</v>
      </c>
      <c r="V176" t="b">
        <f t="shared" si="35"/>
        <v>1</v>
      </c>
      <c r="W176" t="b">
        <f t="shared" si="36"/>
        <v>1</v>
      </c>
      <c r="X176" t="b">
        <f t="shared" si="37"/>
        <v>1</v>
      </c>
      <c r="Y176" t="b">
        <f t="shared" si="38"/>
        <v>1</v>
      </c>
      <c r="Z176" t="b">
        <f t="shared" si="39"/>
        <v>1</v>
      </c>
      <c r="AA176" t="b">
        <f t="shared" si="40"/>
        <v>1</v>
      </c>
      <c r="AB176" t="b">
        <f t="shared" si="41"/>
        <v>1</v>
      </c>
      <c r="AC176" t="b">
        <f t="shared" si="42"/>
        <v>1</v>
      </c>
      <c r="AD176" t="b">
        <f t="shared" si="43"/>
        <v>1</v>
      </c>
      <c r="AE176" t="b">
        <f t="shared" si="44"/>
        <v>1</v>
      </c>
      <c r="AG176" s="1">
        <v>2740445</v>
      </c>
      <c r="AH176" t="s">
        <v>756</v>
      </c>
      <c r="AI176">
        <v>540</v>
      </c>
      <c r="AJ176" t="s">
        <v>503</v>
      </c>
      <c r="AK176" s="2">
        <v>46227</v>
      </c>
      <c r="AL176" s="2">
        <v>46227</v>
      </c>
      <c r="AM176" s="3">
        <v>15</v>
      </c>
      <c r="AN176" t="s">
        <v>20</v>
      </c>
      <c r="AO176" s="3">
        <v>7050</v>
      </c>
      <c r="AP176" t="s">
        <v>734</v>
      </c>
      <c r="AR176" t="s">
        <v>595</v>
      </c>
      <c r="AT176" t="s">
        <v>757</v>
      </c>
    </row>
    <row r="177" spans="1:47" x14ac:dyDescent="0.25">
      <c r="A177" s="1">
        <v>2742544</v>
      </c>
      <c r="B177" t="s">
        <v>282</v>
      </c>
      <c r="C177">
        <v>540</v>
      </c>
      <c r="D177" t="s">
        <v>1</v>
      </c>
      <c r="E177" s="2">
        <v>46227</v>
      </c>
      <c r="F177" s="2">
        <v>46227</v>
      </c>
      <c r="G177" s="3">
        <v>6</v>
      </c>
      <c r="H177" t="s">
        <v>2</v>
      </c>
      <c r="I177" s="3">
        <v>0</v>
      </c>
      <c r="J177" t="s">
        <v>283</v>
      </c>
      <c r="K177" t="s">
        <v>4</v>
      </c>
      <c r="L177" t="s">
        <v>108</v>
      </c>
      <c r="M177" t="s">
        <v>6</v>
      </c>
      <c r="N177" t="s">
        <v>7</v>
      </c>
      <c r="O177" t="s">
        <v>109</v>
      </c>
      <c r="Q177" t="b">
        <f t="shared" si="30"/>
        <v>1</v>
      </c>
      <c r="R177" t="b">
        <f t="shared" si="31"/>
        <v>1</v>
      </c>
      <c r="S177" t="b">
        <f t="shared" si="32"/>
        <v>1</v>
      </c>
      <c r="T177" t="b">
        <f t="shared" si="33"/>
        <v>1</v>
      </c>
      <c r="U177" t="b">
        <f t="shared" si="34"/>
        <v>1</v>
      </c>
      <c r="V177" t="b">
        <f t="shared" si="35"/>
        <v>1</v>
      </c>
      <c r="W177" t="b">
        <f t="shared" si="36"/>
        <v>1</v>
      </c>
      <c r="X177" t="b">
        <f t="shared" si="37"/>
        <v>1</v>
      </c>
      <c r="Y177" t="b">
        <f t="shared" si="38"/>
        <v>1</v>
      </c>
      <c r="Z177" t="b">
        <f t="shared" si="39"/>
        <v>1</v>
      </c>
      <c r="AA177" t="b">
        <f t="shared" si="40"/>
        <v>1</v>
      </c>
      <c r="AB177" t="b">
        <f t="shared" si="41"/>
        <v>1</v>
      </c>
      <c r="AC177" t="b">
        <f t="shared" si="42"/>
        <v>1</v>
      </c>
      <c r="AD177" t="b">
        <f t="shared" si="43"/>
        <v>1</v>
      </c>
      <c r="AE177" t="b">
        <f t="shared" si="44"/>
        <v>1</v>
      </c>
      <c r="AG177" s="1">
        <v>2742544</v>
      </c>
      <c r="AH177" t="s">
        <v>758</v>
      </c>
      <c r="AI177">
        <v>540</v>
      </c>
      <c r="AJ177" t="s">
        <v>503</v>
      </c>
      <c r="AK177" s="2">
        <v>46227</v>
      </c>
      <c r="AL177" s="2">
        <v>46227</v>
      </c>
      <c r="AM177" s="3">
        <v>6</v>
      </c>
      <c r="AN177" t="s">
        <v>2</v>
      </c>
      <c r="AO177" s="3">
        <v>0</v>
      </c>
      <c r="AP177" t="s">
        <v>759</v>
      </c>
      <c r="AR177" t="s">
        <v>595</v>
      </c>
      <c r="AU177" t="s">
        <v>596</v>
      </c>
    </row>
    <row r="178" spans="1:47" x14ac:dyDescent="0.25">
      <c r="A178" s="1">
        <v>2742693</v>
      </c>
      <c r="B178" t="s">
        <v>284</v>
      </c>
      <c r="C178">
        <v>540</v>
      </c>
      <c r="D178" t="s">
        <v>1</v>
      </c>
      <c r="E178" s="2">
        <v>46227</v>
      </c>
      <c r="F178" s="2">
        <v>46227</v>
      </c>
      <c r="G178" s="3">
        <v>4</v>
      </c>
      <c r="H178" t="s">
        <v>20</v>
      </c>
      <c r="I178" s="3">
        <v>1900</v>
      </c>
      <c r="J178" t="s">
        <v>39</v>
      </c>
      <c r="K178" t="s">
        <v>4</v>
      </c>
      <c r="L178" t="s">
        <v>30</v>
      </c>
      <c r="M178" t="s">
        <v>6</v>
      </c>
      <c r="N178" t="s">
        <v>7</v>
      </c>
      <c r="O178" t="s">
        <v>7</v>
      </c>
      <c r="Q178" t="b">
        <f t="shared" si="30"/>
        <v>1</v>
      </c>
      <c r="R178" t="b">
        <f t="shared" si="31"/>
        <v>1</v>
      </c>
      <c r="S178" t="b">
        <f t="shared" si="32"/>
        <v>1</v>
      </c>
      <c r="T178" t="b">
        <f t="shared" si="33"/>
        <v>1</v>
      </c>
      <c r="U178" t="b">
        <f t="shared" si="34"/>
        <v>1</v>
      </c>
      <c r="V178" t="b">
        <f t="shared" si="35"/>
        <v>1</v>
      </c>
      <c r="W178" t="b">
        <f t="shared" si="36"/>
        <v>1</v>
      </c>
      <c r="X178" t="b">
        <f t="shared" si="37"/>
        <v>1</v>
      </c>
      <c r="Y178" t="b">
        <f t="shared" si="38"/>
        <v>1</v>
      </c>
      <c r="Z178" t="b">
        <f t="shared" si="39"/>
        <v>1</v>
      </c>
      <c r="AA178" t="b">
        <f t="shared" si="40"/>
        <v>1</v>
      </c>
      <c r="AB178" t="b">
        <f t="shared" si="41"/>
        <v>1</v>
      </c>
      <c r="AC178" t="b">
        <f t="shared" si="42"/>
        <v>1</v>
      </c>
      <c r="AD178" t="b">
        <f t="shared" si="43"/>
        <v>1</v>
      </c>
      <c r="AE178" t="b">
        <f t="shared" si="44"/>
        <v>1</v>
      </c>
      <c r="AG178" s="1">
        <v>2742693</v>
      </c>
      <c r="AH178" t="s">
        <v>760</v>
      </c>
      <c r="AI178">
        <v>540</v>
      </c>
      <c r="AJ178" t="s">
        <v>503</v>
      </c>
      <c r="AK178" s="2">
        <v>46227</v>
      </c>
      <c r="AL178" s="2">
        <v>46227</v>
      </c>
      <c r="AM178" s="3">
        <v>4</v>
      </c>
      <c r="AN178" t="s">
        <v>20</v>
      </c>
      <c r="AO178" s="3">
        <v>1900</v>
      </c>
      <c r="AP178" t="s">
        <v>530</v>
      </c>
      <c r="AR178" t="s">
        <v>521</v>
      </c>
    </row>
    <row r="179" spans="1:47" x14ac:dyDescent="0.25">
      <c r="A179" s="1">
        <v>2742711</v>
      </c>
      <c r="B179" t="s">
        <v>285</v>
      </c>
      <c r="C179">
        <v>540</v>
      </c>
      <c r="D179" t="s">
        <v>1</v>
      </c>
      <c r="E179" s="2">
        <v>46223</v>
      </c>
      <c r="F179" s="2">
        <v>46227</v>
      </c>
      <c r="G179" s="3">
        <v>15</v>
      </c>
      <c r="H179" t="s">
        <v>11</v>
      </c>
      <c r="I179" s="3">
        <v>40500</v>
      </c>
      <c r="J179" t="s">
        <v>286</v>
      </c>
      <c r="K179" t="s">
        <v>4</v>
      </c>
      <c r="L179" t="s">
        <v>22</v>
      </c>
      <c r="M179" t="s">
        <v>23</v>
      </c>
      <c r="N179" t="s">
        <v>7</v>
      </c>
      <c r="O179" t="s">
        <v>7</v>
      </c>
      <c r="Q179" t="b">
        <f t="shared" si="30"/>
        <v>1</v>
      </c>
      <c r="R179" t="b">
        <f t="shared" si="31"/>
        <v>1</v>
      </c>
      <c r="S179" t="b">
        <f t="shared" si="32"/>
        <v>1</v>
      </c>
      <c r="T179" t="b">
        <f t="shared" si="33"/>
        <v>1</v>
      </c>
      <c r="U179" t="b">
        <f t="shared" si="34"/>
        <v>1</v>
      </c>
      <c r="V179" t="b">
        <f t="shared" si="35"/>
        <v>1</v>
      </c>
      <c r="W179" t="b">
        <f t="shared" si="36"/>
        <v>1</v>
      </c>
      <c r="X179" t="b">
        <f t="shared" si="37"/>
        <v>1</v>
      </c>
      <c r="Y179" t="b">
        <f t="shared" si="38"/>
        <v>1</v>
      </c>
      <c r="Z179" t="b">
        <f t="shared" si="39"/>
        <v>1</v>
      </c>
      <c r="AA179" t="b">
        <f t="shared" si="40"/>
        <v>1</v>
      </c>
      <c r="AB179" t="b">
        <f t="shared" si="41"/>
        <v>1</v>
      </c>
      <c r="AC179" t="b">
        <f t="shared" si="42"/>
        <v>1</v>
      </c>
      <c r="AD179" t="b">
        <f t="shared" si="43"/>
        <v>1</v>
      </c>
      <c r="AE179" t="b">
        <f t="shared" si="44"/>
        <v>1</v>
      </c>
      <c r="AG179" s="1">
        <v>2742711</v>
      </c>
      <c r="AH179" t="s">
        <v>761</v>
      </c>
      <c r="AI179">
        <v>540</v>
      </c>
      <c r="AJ179" t="s">
        <v>503</v>
      </c>
      <c r="AK179" s="2">
        <v>46223</v>
      </c>
      <c r="AL179" s="2">
        <v>46227</v>
      </c>
      <c r="AM179" s="3">
        <v>15</v>
      </c>
      <c r="AN179" t="s">
        <v>11</v>
      </c>
      <c r="AO179" s="3">
        <v>40500</v>
      </c>
      <c r="AP179" t="s">
        <v>762</v>
      </c>
      <c r="AR179" t="s">
        <v>516</v>
      </c>
      <c r="AS179" t="s">
        <v>23</v>
      </c>
    </row>
    <row r="180" spans="1:47" x14ac:dyDescent="0.25">
      <c r="A180" s="1">
        <v>2668920</v>
      </c>
      <c r="B180" t="s">
        <v>287</v>
      </c>
      <c r="C180">
        <v>540</v>
      </c>
      <c r="D180" t="s">
        <v>1</v>
      </c>
      <c r="E180" s="2">
        <v>46230</v>
      </c>
      <c r="F180" s="2">
        <v>46230</v>
      </c>
      <c r="G180" s="3">
        <v>12</v>
      </c>
      <c r="H180" t="s">
        <v>20</v>
      </c>
      <c r="I180" s="3">
        <v>5400</v>
      </c>
      <c r="J180" t="s">
        <v>105</v>
      </c>
      <c r="K180" t="s">
        <v>4</v>
      </c>
      <c r="L180" t="s">
        <v>30</v>
      </c>
      <c r="M180" t="s">
        <v>6</v>
      </c>
      <c r="N180" t="s">
        <v>231</v>
      </c>
      <c r="O180" t="s">
        <v>7</v>
      </c>
      <c r="Q180" t="b">
        <f t="shared" si="30"/>
        <v>1</v>
      </c>
      <c r="R180" t="b">
        <f t="shared" si="31"/>
        <v>1</v>
      </c>
      <c r="S180" t="b">
        <f t="shared" si="32"/>
        <v>1</v>
      </c>
      <c r="T180" t="b">
        <f t="shared" si="33"/>
        <v>1</v>
      </c>
      <c r="U180" t="b">
        <f t="shared" si="34"/>
        <v>1</v>
      </c>
      <c r="V180" t="b">
        <f t="shared" si="35"/>
        <v>1</v>
      </c>
      <c r="W180" t="b">
        <f t="shared" si="36"/>
        <v>1</v>
      </c>
      <c r="X180" t="b">
        <f t="shared" si="37"/>
        <v>1</v>
      </c>
      <c r="Y180" t="b">
        <f t="shared" si="38"/>
        <v>1</v>
      </c>
      <c r="Z180" t="b">
        <f t="shared" si="39"/>
        <v>1</v>
      </c>
      <c r="AA180" t="b">
        <f t="shared" si="40"/>
        <v>1</v>
      </c>
      <c r="AB180" t="b">
        <f t="shared" si="41"/>
        <v>1</v>
      </c>
      <c r="AC180" t="b">
        <f t="shared" si="42"/>
        <v>1</v>
      </c>
      <c r="AD180" t="b">
        <f t="shared" si="43"/>
        <v>1</v>
      </c>
      <c r="AE180" t="b">
        <f t="shared" si="44"/>
        <v>1</v>
      </c>
      <c r="AG180" s="1">
        <v>2668920</v>
      </c>
      <c r="AH180" t="s">
        <v>763</v>
      </c>
      <c r="AI180">
        <v>540</v>
      </c>
      <c r="AJ180" t="s">
        <v>503</v>
      </c>
      <c r="AK180" s="2">
        <v>46230</v>
      </c>
      <c r="AL180" s="2">
        <v>46230</v>
      </c>
      <c r="AM180" s="3">
        <v>12</v>
      </c>
      <c r="AN180" t="s">
        <v>20</v>
      </c>
      <c r="AO180" s="3">
        <v>5400</v>
      </c>
      <c r="AP180" t="s">
        <v>592</v>
      </c>
      <c r="AR180" t="s">
        <v>521</v>
      </c>
      <c r="AT180" t="s">
        <v>710</v>
      </c>
    </row>
    <row r="181" spans="1:47" x14ac:dyDescent="0.25">
      <c r="A181" s="1">
        <v>2701057</v>
      </c>
      <c r="B181" t="s">
        <v>288</v>
      </c>
      <c r="C181">
        <v>540</v>
      </c>
      <c r="D181" t="s">
        <v>1</v>
      </c>
      <c r="E181" s="2">
        <v>46217</v>
      </c>
      <c r="F181" s="2">
        <v>46230</v>
      </c>
      <c r="G181" s="3">
        <v>6</v>
      </c>
      <c r="H181" t="s">
        <v>11</v>
      </c>
      <c r="I181" s="3">
        <v>0</v>
      </c>
      <c r="J181" t="s">
        <v>289</v>
      </c>
      <c r="K181" t="s">
        <v>290</v>
      </c>
      <c r="L181" t="s">
        <v>37</v>
      </c>
      <c r="M181" t="s">
        <v>23</v>
      </c>
      <c r="N181" t="s">
        <v>7</v>
      </c>
      <c r="O181" t="s">
        <v>7</v>
      </c>
      <c r="Q181" t="b">
        <f t="shared" si="30"/>
        <v>1</v>
      </c>
      <c r="R181" t="b">
        <f t="shared" si="31"/>
        <v>1</v>
      </c>
      <c r="S181" t="b">
        <f t="shared" si="32"/>
        <v>1</v>
      </c>
      <c r="T181" t="b">
        <f t="shared" si="33"/>
        <v>1</v>
      </c>
      <c r="U181" t="b">
        <f t="shared" si="34"/>
        <v>1</v>
      </c>
      <c r="V181" t="b">
        <f t="shared" si="35"/>
        <v>1</v>
      </c>
      <c r="W181" t="b">
        <f t="shared" si="36"/>
        <v>1</v>
      </c>
      <c r="X181" t="b">
        <f t="shared" si="37"/>
        <v>1</v>
      </c>
      <c r="Y181" t="b">
        <f t="shared" si="38"/>
        <v>1</v>
      </c>
      <c r="Z181" t="b">
        <f t="shared" si="39"/>
        <v>1</v>
      </c>
      <c r="AA181" t="b">
        <f t="shared" si="40"/>
        <v>1</v>
      </c>
      <c r="AB181" t="b">
        <f t="shared" si="41"/>
        <v>1</v>
      </c>
      <c r="AC181" t="b">
        <f t="shared" si="42"/>
        <v>1</v>
      </c>
      <c r="AD181" t="b">
        <f t="shared" si="43"/>
        <v>1</v>
      </c>
      <c r="AE181" t="b">
        <f t="shared" si="44"/>
        <v>1</v>
      </c>
      <c r="AG181" s="1">
        <v>2701057</v>
      </c>
      <c r="AH181" t="s">
        <v>288</v>
      </c>
      <c r="AI181">
        <v>540</v>
      </c>
      <c r="AJ181" t="s">
        <v>503</v>
      </c>
      <c r="AK181" s="2">
        <v>46217</v>
      </c>
      <c r="AL181" s="2">
        <v>46230</v>
      </c>
      <c r="AM181" s="3">
        <v>6</v>
      </c>
      <c r="AN181" t="s">
        <v>11</v>
      </c>
      <c r="AO181" s="3">
        <v>0</v>
      </c>
      <c r="AP181" t="s">
        <v>764</v>
      </c>
      <c r="AQ181" t="s">
        <v>290</v>
      </c>
      <c r="AR181" t="s">
        <v>528</v>
      </c>
      <c r="AS181" t="s">
        <v>23</v>
      </c>
    </row>
    <row r="182" spans="1:47" x14ac:dyDescent="0.25">
      <c r="A182" s="1">
        <v>2711788</v>
      </c>
      <c r="B182" t="s">
        <v>14</v>
      </c>
      <c r="C182">
        <v>530</v>
      </c>
      <c r="D182" t="s">
        <v>15</v>
      </c>
      <c r="E182" s="2">
        <v>46216</v>
      </c>
      <c r="F182" s="2">
        <v>46230</v>
      </c>
      <c r="G182" s="3">
        <v>19</v>
      </c>
      <c r="H182" t="s">
        <v>11</v>
      </c>
      <c r="I182" s="3">
        <v>39786</v>
      </c>
      <c r="J182" t="s">
        <v>291</v>
      </c>
      <c r="K182" t="s">
        <v>4</v>
      </c>
      <c r="L182" t="s">
        <v>5</v>
      </c>
      <c r="M182" t="s">
        <v>6</v>
      </c>
      <c r="N182" t="s">
        <v>7</v>
      </c>
      <c r="O182" t="s">
        <v>7</v>
      </c>
      <c r="Q182" t="b">
        <f t="shared" si="30"/>
        <v>1</v>
      </c>
      <c r="R182" t="b">
        <f t="shared" si="31"/>
        <v>1</v>
      </c>
      <c r="S182" t="b">
        <f t="shared" si="32"/>
        <v>1</v>
      </c>
      <c r="T182" t="b">
        <f t="shared" si="33"/>
        <v>1</v>
      </c>
      <c r="U182" t="b">
        <f t="shared" si="34"/>
        <v>1</v>
      </c>
      <c r="V182" t="b">
        <f t="shared" si="35"/>
        <v>1</v>
      </c>
      <c r="W182" t="b">
        <f t="shared" si="36"/>
        <v>1</v>
      </c>
      <c r="X182" t="b">
        <f t="shared" si="37"/>
        <v>1</v>
      </c>
      <c r="Y182" t="b">
        <f t="shared" si="38"/>
        <v>1</v>
      </c>
      <c r="Z182" t="b">
        <f t="shared" si="39"/>
        <v>1</v>
      </c>
      <c r="AA182" t="b">
        <f t="shared" si="40"/>
        <v>1</v>
      </c>
      <c r="AB182" t="b">
        <f t="shared" si="41"/>
        <v>1</v>
      </c>
      <c r="AC182" t="b">
        <f t="shared" si="42"/>
        <v>1</v>
      </c>
      <c r="AD182" t="b">
        <f t="shared" si="43"/>
        <v>1</v>
      </c>
      <c r="AE182" t="b">
        <f t="shared" si="44"/>
        <v>1</v>
      </c>
      <c r="AG182" s="1">
        <v>2711788</v>
      </c>
      <c r="AH182" t="s">
        <v>510</v>
      </c>
      <c r="AI182">
        <v>530</v>
      </c>
      <c r="AJ182" t="s">
        <v>511</v>
      </c>
      <c r="AK182" s="2">
        <v>46216</v>
      </c>
      <c r="AL182" s="2">
        <v>46230</v>
      </c>
      <c r="AM182" s="3">
        <v>19</v>
      </c>
      <c r="AN182" t="s">
        <v>11</v>
      </c>
      <c r="AO182" s="3">
        <v>39786</v>
      </c>
      <c r="AP182" t="s">
        <v>765</v>
      </c>
      <c r="AR182" t="s">
        <v>505</v>
      </c>
    </row>
    <row r="183" spans="1:47" x14ac:dyDescent="0.25">
      <c r="A183" s="1">
        <v>2722571</v>
      </c>
      <c r="B183" t="s">
        <v>163</v>
      </c>
      <c r="C183">
        <v>540</v>
      </c>
      <c r="D183" t="s">
        <v>1</v>
      </c>
      <c r="E183" s="2">
        <v>46230</v>
      </c>
      <c r="F183" s="2">
        <v>46230</v>
      </c>
      <c r="G183" s="3">
        <v>80</v>
      </c>
      <c r="H183" t="s">
        <v>20</v>
      </c>
      <c r="I183" s="3">
        <v>36000</v>
      </c>
      <c r="J183" t="s">
        <v>292</v>
      </c>
      <c r="K183" t="s">
        <v>4</v>
      </c>
      <c r="L183" t="s">
        <v>108</v>
      </c>
      <c r="M183" t="s">
        <v>6</v>
      </c>
      <c r="N183" t="s">
        <v>165</v>
      </c>
      <c r="O183" t="s">
        <v>7</v>
      </c>
      <c r="Q183" t="b">
        <f t="shared" si="30"/>
        <v>1</v>
      </c>
      <c r="R183" t="b">
        <f t="shared" si="31"/>
        <v>1</v>
      </c>
      <c r="S183" t="b">
        <f t="shared" si="32"/>
        <v>1</v>
      </c>
      <c r="T183" t="b">
        <f t="shared" si="33"/>
        <v>1</v>
      </c>
      <c r="U183" t="b">
        <f t="shared" si="34"/>
        <v>1</v>
      </c>
      <c r="V183" t="b">
        <f t="shared" si="35"/>
        <v>1</v>
      </c>
      <c r="W183" t="b">
        <f t="shared" si="36"/>
        <v>1</v>
      </c>
      <c r="X183" t="b">
        <f t="shared" si="37"/>
        <v>1</v>
      </c>
      <c r="Y183" t="b">
        <f t="shared" si="38"/>
        <v>1</v>
      </c>
      <c r="Z183" t="b">
        <f t="shared" si="39"/>
        <v>1</v>
      </c>
      <c r="AA183" t="b">
        <f t="shared" si="40"/>
        <v>1</v>
      </c>
      <c r="AB183" t="b">
        <f t="shared" si="41"/>
        <v>1</v>
      </c>
      <c r="AC183" t="b">
        <f t="shared" si="42"/>
        <v>1</v>
      </c>
      <c r="AD183" t="b">
        <f t="shared" si="43"/>
        <v>1</v>
      </c>
      <c r="AE183" t="b">
        <f t="shared" si="44"/>
        <v>1</v>
      </c>
      <c r="AG183" s="1">
        <v>2722571</v>
      </c>
      <c r="AH183" t="s">
        <v>646</v>
      </c>
      <c r="AI183">
        <v>540</v>
      </c>
      <c r="AJ183" t="s">
        <v>503</v>
      </c>
      <c r="AK183" s="2">
        <v>46230</v>
      </c>
      <c r="AL183" s="2">
        <v>46230</v>
      </c>
      <c r="AM183" s="3">
        <v>80</v>
      </c>
      <c r="AN183" t="s">
        <v>20</v>
      </c>
      <c r="AO183" s="3">
        <v>36000</v>
      </c>
      <c r="AP183" t="s">
        <v>766</v>
      </c>
      <c r="AR183" t="s">
        <v>595</v>
      </c>
      <c r="AT183" t="s">
        <v>648</v>
      </c>
    </row>
    <row r="184" spans="1:47" x14ac:dyDescent="0.25">
      <c r="A184" s="1">
        <v>2724579</v>
      </c>
      <c r="B184" t="s">
        <v>293</v>
      </c>
      <c r="C184">
        <v>540</v>
      </c>
      <c r="D184" t="s">
        <v>1</v>
      </c>
      <c r="E184" s="2">
        <v>46230</v>
      </c>
      <c r="F184" s="2">
        <v>46230</v>
      </c>
      <c r="G184" s="3">
        <v>10</v>
      </c>
      <c r="H184" t="s">
        <v>11</v>
      </c>
      <c r="I184" s="3">
        <v>22000</v>
      </c>
      <c r="J184" t="s">
        <v>294</v>
      </c>
      <c r="K184" t="s">
        <v>4</v>
      </c>
      <c r="L184" t="s">
        <v>30</v>
      </c>
      <c r="M184" t="s">
        <v>6</v>
      </c>
      <c r="N184" t="s">
        <v>7</v>
      </c>
      <c r="O184" t="s">
        <v>7</v>
      </c>
      <c r="Q184" t="b">
        <f t="shared" si="30"/>
        <v>1</v>
      </c>
      <c r="R184" t="b">
        <f t="shared" si="31"/>
        <v>1</v>
      </c>
      <c r="S184" t="b">
        <f t="shared" si="32"/>
        <v>1</v>
      </c>
      <c r="T184" t="b">
        <f t="shared" si="33"/>
        <v>1</v>
      </c>
      <c r="U184" t="b">
        <f t="shared" si="34"/>
        <v>1</v>
      </c>
      <c r="V184" t="b">
        <f t="shared" si="35"/>
        <v>1</v>
      </c>
      <c r="W184" t="b">
        <f t="shared" si="36"/>
        <v>1</v>
      </c>
      <c r="X184" t="b">
        <f t="shared" si="37"/>
        <v>1</v>
      </c>
      <c r="Y184" t="b">
        <f t="shared" si="38"/>
        <v>1</v>
      </c>
      <c r="Z184" t="b">
        <f t="shared" si="39"/>
        <v>1</v>
      </c>
      <c r="AA184" t="b">
        <f t="shared" si="40"/>
        <v>1</v>
      </c>
      <c r="AB184" t="b">
        <f t="shared" si="41"/>
        <v>1</v>
      </c>
      <c r="AC184" t="b">
        <f t="shared" si="42"/>
        <v>1</v>
      </c>
      <c r="AD184" t="b">
        <f t="shared" si="43"/>
        <v>1</v>
      </c>
      <c r="AE184" t="b">
        <f t="shared" si="44"/>
        <v>1</v>
      </c>
      <c r="AG184" s="1">
        <v>2724579</v>
      </c>
      <c r="AH184" t="s">
        <v>293</v>
      </c>
      <c r="AI184">
        <v>540</v>
      </c>
      <c r="AJ184" t="s">
        <v>503</v>
      </c>
      <c r="AK184" s="2">
        <v>46230</v>
      </c>
      <c r="AL184" s="2">
        <v>46230</v>
      </c>
      <c r="AM184" s="3">
        <v>10</v>
      </c>
      <c r="AN184" t="s">
        <v>11</v>
      </c>
      <c r="AO184" s="3">
        <v>22000</v>
      </c>
      <c r="AP184" t="s">
        <v>767</v>
      </c>
      <c r="AR184" t="s">
        <v>521</v>
      </c>
    </row>
    <row r="185" spans="1:47" x14ac:dyDescent="0.25">
      <c r="A185" s="1">
        <v>2727576</v>
      </c>
      <c r="B185" t="s">
        <v>248</v>
      </c>
      <c r="C185">
        <v>540</v>
      </c>
      <c r="D185" t="s">
        <v>15</v>
      </c>
      <c r="E185" s="2">
        <v>46230</v>
      </c>
      <c r="F185" s="2">
        <v>46230</v>
      </c>
      <c r="G185" s="3">
        <v>44000</v>
      </c>
      <c r="H185" t="s">
        <v>16</v>
      </c>
      <c r="I185" s="3">
        <v>0</v>
      </c>
      <c r="J185" t="s">
        <v>295</v>
      </c>
      <c r="K185" t="s">
        <v>4</v>
      </c>
      <c r="L185" t="s">
        <v>142</v>
      </c>
      <c r="M185" t="s">
        <v>6</v>
      </c>
      <c r="N185" t="s">
        <v>7</v>
      </c>
      <c r="O185" t="s">
        <v>296</v>
      </c>
      <c r="Q185" t="b">
        <f t="shared" si="30"/>
        <v>1</v>
      </c>
      <c r="R185" t="b">
        <f t="shared" si="31"/>
        <v>1</v>
      </c>
      <c r="S185" t="b">
        <f t="shared" si="32"/>
        <v>1</v>
      </c>
      <c r="T185" t="b">
        <f t="shared" si="33"/>
        <v>1</v>
      </c>
      <c r="U185" t="b">
        <f t="shared" si="34"/>
        <v>1</v>
      </c>
      <c r="V185" t="b">
        <f t="shared" si="35"/>
        <v>1</v>
      </c>
      <c r="W185" t="b">
        <f t="shared" si="36"/>
        <v>1</v>
      </c>
      <c r="X185" t="b">
        <f t="shared" si="37"/>
        <v>1</v>
      </c>
      <c r="Y185" t="b">
        <f t="shared" si="38"/>
        <v>1</v>
      </c>
      <c r="Z185" t="b">
        <f t="shared" si="39"/>
        <v>1</v>
      </c>
      <c r="AA185" t="b">
        <f t="shared" si="40"/>
        <v>1</v>
      </c>
      <c r="AB185" t="b">
        <f t="shared" si="41"/>
        <v>1</v>
      </c>
      <c r="AC185" t="b">
        <f t="shared" si="42"/>
        <v>1</v>
      </c>
      <c r="AD185" t="b">
        <f t="shared" si="43"/>
        <v>1</v>
      </c>
      <c r="AE185" t="b">
        <f t="shared" si="44"/>
        <v>1</v>
      </c>
      <c r="AG185" s="1">
        <v>2727576</v>
      </c>
      <c r="AH185" t="s">
        <v>726</v>
      </c>
      <c r="AI185">
        <v>540</v>
      </c>
      <c r="AJ185" t="s">
        <v>511</v>
      </c>
      <c r="AK185" s="2">
        <v>46230</v>
      </c>
      <c r="AL185" s="2">
        <v>46230</v>
      </c>
      <c r="AM185" s="3">
        <v>44000</v>
      </c>
      <c r="AN185" t="s">
        <v>16</v>
      </c>
      <c r="AO185" s="3">
        <v>0</v>
      </c>
      <c r="AP185" t="s">
        <v>768</v>
      </c>
      <c r="AR185" t="s">
        <v>627</v>
      </c>
      <c r="AU185" t="s">
        <v>769</v>
      </c>
    </row>
    <row r="186" spans="1:47" x14ac:dyDescent="0.25">
      <c r="A186" s="1">
        <v>2727933</v>
      </c>
      <c r="B186" t="s">
        <v>10</v>
      </c>
      <c r="C186">
        <v>540</v>
      </c>
      <c r="D186" t="s">
        <v>15</v>
      </c>
      <c r="E186" s="2">
        <v>46230</v>
      </c>
      <c r="F186" s="2">
        <v>46230</v>
      </c>
      <c r="G186" s="3">
        <v>44000</v>
      </c>
      <c r="H186" t="s">
        <v>16</v>
      </c>
      <c r="I186" s="3">
        <v>44000</v>
      </c>
      <c r="J186" t="s">
        <v>95</v>
      </c>
      <c r="K186" t="s">
        <v>4</v>
      </c>
      <c r="L186" t="s">
        <v>5</v>
      </c>
      <c r="M186" t="s">
        <v>6</v>
      </c>
      <c r="N186" t="s">
        <v>13</v>
      </c>
      <c r="O186" t="s">
        <v>297</v>
      </c>
      <c r="Q186" t="b">
        <f t="shared" si="30"/>
        <v>1</v>
      </c>
      <c r="R186" t="b">
        <f t="shared" si="31"/>
        <v>1</v>
      </c>
      <c r="S186" t="b">
        <f t="shared" si="32"/>
        <v>1</v>
      </c>
      <c r="T186" t="b">
        <f t="shared" si="33"/>
        <v>1</v>
      </c>
      <c r="U186" t="b">
        <f t="shared" si="34"/>
        <v>1</v>
      </c>
      <c r="V186" t="b">
        <f t="shared" si="35"/>
        <v>1</v>
      </c>
      <c r="W186" t="b">
        <f t="shared" si="36"/>
        <v>1</v>
      </c>
      <c r="X186" t="b">
        <f t="shared" si="37"/>
        <v>1</v>
      </c>
      <c r="Y186" t="b">
        <f t="shared" si="38"/>
        <v>1</v>
      </c>
      <c r="Z186" t="b">
        <f t="shared" si="39"/>
        <v>1</v>
      </c>
      <c r="AA186" t="b">
        <f t="shared" si="40"/>
        <v>1</v>
      </c>
      <c r="AB186" t="b">
        <f t="shared" si="41"/>
        <v>1</v>
      </c>
      <c r="AC186" t="b">
        <f t="shared" si="42"/>
        <v>1</v>
      </c>
      <c r="AD186" t="b">
        <f t="shared" si="43"/>
        <v>1</v>
      </c>
      <c r="AE186" t="b">
        <f t="shared" si="44"/>
        <v>1</v>
      </c>
      <c r="AG186" s="1">
        <v>2727933</v>
      </c>
      <c r="AH186" t="s">
        <v>507</v>
      </c>
      <c r="AI186">
        <v>540</v>
      </c>
      <c r="AJ186" t="s">
        <v>511</v>
      </c>
      <c r="AK186" s="2">
        <v>46230</v>
      </c>
      <c r="AL186" s="2">
        <v>46230</v>
      </c>
      <c r="AM186" s="3">
        <v>44000</v>
      </c>
      <c r="AN186" t="s">
        <v>16</v>
      </c>
      <c r="AO186" s="3">
        <v>44000</v>
      </c>
      <c r="AP186" t="s">
        <v>582</v>
      </c>
      <c r="AR186" t="s">
        <v>505</v>
      </c>
      <c r="AT186" t="s">
        <v>509</v>
      </c>
      <c r="AU186" t="s">
        <v>770</v>
      </c>
    </row>
    <row r="187" spans="1:47" x14ac:dyDescent="0.25">
      <c r="A187" s="1">
        <v>2737637</v>
      </c>
      <c r="B187" t="s">
        <v>298</v>
      </c>
      <c r="C187">
        <v>535</v>
      </c>
      <c r="D187" t="s">
        <v>1</v>
      </c>
      <c r="E187" s="2">
        <v>46230</v>
      </c>
      <c r="F187" s="2">
        <v>46230</v>
      </c>
      <c r="G187" s="3">
        <v>18</v>
      </c>
      <c r="H187" t="s">
        <v>20</v>
      </c>
      <c r="I187" s="3">
        <v>8100</v>
      </c>
      <c r="J187" t="s">
        <v>299</v>
      </c>
      <c r="K187" t="s">
        <v>4</v>
      </c>
      <c r="L187" t="s">
        <v>37</v>
      </c>
      <c r="M187" t="s">
        <v>6</v>
      </c>
      <c r="N187" t="s">
        <v>7</v>
      </c>
      <c r="O187" t="s">
        <v>175</v>
      </c>
      <c r="Q187" t="b">
        <f t="shared" si="30"/>
        <v>1</v>
      </c>
      <c r="R187" t="b">
        <f t="shared" si="31"/>
        <v>1</v>
      </c>
      <c r="S187" t="b">
        <f t="shared" si="32"/>
        <v>1</v>
      </c>
      <c r="T187" t="b">
        <f t="shared" si="33"/>
        <v>1</v>
      </c>
      <c r="U187" t="b">
        <f t="shared" si="34"/>
        <v>1</v>
      </c>
      <c r="V187" t="b">
        <f t="shared" si="35"/>
        <v>1</v>
      </c>
      <c r="W187" t="b">
        <f t="shared" si="36"/>
        <v>1</v>
      </c>
      <c r="X187" t="b">
        <f t="shared" si="37"/>
        <v>1</v>
      </c>
      <c r="Y187" t="b">
        <f t="shared" si="38"/>
        <v>1</v>
      </c>
      <c r="Z187" t="b">
        <f t="shared" si="39"/>
        <v>1</v>
      </c>
      <c r="AA187" t="b">
        <f t="shared" si="40"/>
        <v>1</v>
      </c>
      <c r="AB187" t="b">
        <f t="shared" si="41"/>
        <v>1</v>
      </c>
      <c r="AC187" t="b">
        <f t="shared" si="42"/>
        <v>1</v>
      </c>
      <c r="AD187" t="b">
        <f t="shared" si="43"/>
        <v>1</v>
      </c>
      <c r="AE187" t="b">
        <f t="shared" si="44"/>
        <v>1</v>
      </c>
      <c r="AG187" s="1">
        <v>2737637</v>
      </c>
      <c r="AH187" t="s">
        <v>298</v>
      </c>
      <c r="AI187">
        <v>535</v>
      </c>
      <c r="AJ187" t="s">
        <v>503</v>
      </c>
      <c r="AK187" s="2">
        <v>46230</v>
      </c>
      <c r="AL187" s="2">
        <v>46230</v>
      </c>
      <c r="AM187" s="3">
        <v>18</v>
      </c>
      <c r="AN187" t="s">
        <v>20</v>
      </c>
      <c r="AO187" s="3">
        <v>8100</v>
      </c>
      <c r="AP187" t="s">
        <v>771</v>
      </c>
      <c r="AR187" t="s">
        <v>528</v>
      </c>
      <c r="AU187" t="s">
        <v>658</v>
      </c>
    </row>
    <row r="188" spans="1:47" x14ac:dyDescent="0.25">
      <c r="A188" s="1">
        <v>2738034</v>
      </c>
      <c r="B188" t="s">
        <v>300</v>
      </c>
      <c r="C188">
        <v>540</v>
      </c>
      <c r="D188" t="s">
        <v>1</v>
      </c>
      <c r="E188" s="2">
        <v>46210</v>
      </c>
      <c r="F188" s="2">
        <v>46230</v>
      </c>
      <c r="G188" s="3">
        <v>10</v>
      </c>
      <c r="H188" t="s">
        <v>2</v>
      </c>
      <c r="I188" s="3">
        <v>400</v>
      </c>
      <c r="J188" t="s">
        <v>3</v>
      </c>
      <c r="K188" t="s">
        <v>4</v>
      </c>
      <c r="L188" t="s">
        <v>37</v>
      </c>
      <c r="M188" t="s">
        <v>6</v>
      </c>
      <c r="N188" t="s">
        <v>7</v>
      </c>
      <c r="O188" t="s">
        <v>175</v>
      </c>
      <c r="Q188" t="b">
        <f t="shared" si="30"/>
        <v>1</v>
      </c>
      <c r="R188" t="b">
        <f t="shared" si="31"/>
        <v>1</v>
      </c>
      <c r="S188" t="b">
        <f t="shared" si="32"/>
        <v>1</v>
      </c>
      <c r="T188" t="b">
        <f t="shared" si="33"/>
        <v>1</v>
      </c>
      <c r="U188" t="b">
        <f t="shared" si="34"/>
        <v>1</v>
      </c>
      <c r="V188" t="b">
        <f t="shared" si="35"/>
        <v>1</v>
      </c>
      <c r="W188" t="b">
        <f t="shared" si="36"/>
        <v>1</v>
      </c>
      <c r="X188" t="b">
        <f t="shared" si="37"/>
        <v>1</v>
      </c>
      <c r="Y188" t="b">
        <f t="shared" si="38"/>
        <v>1</v>
      </c>
      <c r="Z188" t="b">
        <f t="shared" si="39"/>
        <v>1</v>
      </c>
      <c r="AA188" t="b">
        <f t="shared" si="40"/>
        <v>1</v>
      </c>
      <c r="AB188" t="b">
        <f t="shared" si="41"/>
        <v>1</v>
      </c>
      <c r="AC188" t="b">
        <f t="shared" si="42"/>
        <v>1</v>
      </c>
      <c r="AD188" t="b">
        <f t="shared" si="43"/>
        <v>1</v>
      </c>
      <c r="AE188" t="b">
        <f t="shared" si="44"/>
        <v>1</v>
      </c>
      <c r="AG188" s="1">
        <v>2738034</v>
      </c>
      <c r="AH188" t="s">
        <v>772</v>
      </c>
      <c r="AI188">
        <v>540</v>
      </c>
      <c r="AJ188" t="s">
        <v>503</v>
      </c>
      <c r="AK188" s="2">
        <v>46210</v>
      </c>
      <c r="AL188" s="2">
        <v>46230</v>
      </c>
      <c r="AM188" s="3">
        <v>10</v>
      </c>
      <c r="AN188" t="s">
        <v>2</v>
      </c>
      <c r="AO188" s="3">
        <v>400</v>
      </c>
      <c r="AP188" t="s">
        <v>504</v>
      </c>
      <c r="AR188" t="s">
        <v>528</v>
      </c>
      <c r="AU188" t="s">
        <v>658</v>
      </c>
    </row>
    <row r="189" spans="1:47" x14ac:dyDescent="0.25">
      <c r="A189" s="1">
        <v>2738034</v>
      </c>
      <c r="B189" t="s">
        <v>300</v>
      </c>
      <c r="C189">
        <v>540</v>
      </c>
      <c r="D189" t="s">
        <v>1</v>
      </c>
      <c r="E189" s="2">
        <v>46210</v>
      </c>
      <c r="F189" s="2">
        <v>46230</v>
      </c>
      <c r="G189" s="3">
        <v>12</v>
      </c>
      <c r="H189" t="s">
        <v>8</v>
      </c>
      <c r="I189" s="3">
        <v>528</v>
      </c>
      <c r="J189" t="s">
        <v>178</v>
      </c>
      <c r="K189" t="s">
        <v>4</v>
      </c>
      <c r="L189" t="s">
        <v>37</v>
      </c>
      <c r="M189" t="s">
        <v>6</v>
      </c>
      <c r="N189" t="s">
        <v>7</v>
      </c>
      <c r="O189" t="s">
        <v>175</v>
      </c>
      <c r="Q189" t="b">
        <f t="shared" si="30"/>
        <v>1</v>
      </c>
      <c r="R189" t="b">
        <f t="shared" si="31"/>
        <v>1</v>
      </c>
      <c r="S189" t="b">
        <f t="shared" si="32"/>
        <v>1</v>
      </c>
      <c r="T189" t="b">
        <f t="shared" si="33"/>
        <v>1</v>
      </c>
      <c r="U189" t="b">
        <f t="shared" si="34"/>
        <v>1</v>
      </c>
      <c r="V189" t="b">
        <f t="shared" si="35"/>
        <v>1</v>
      </c>
      <c r="W189" t="b">
        <f t="shared" si="36"/>
        <v>1</v>
      </c>
      <c r="X189" t="b">
        <f t="shared" si="37"/>
        <v>1</v>
      </c>
      <c r="Y189" t="b">
        <f t="shared" si="38"/>
        <v>1</v>
      </c>
      <c r="Z189" t="b">
        <f t="shared" si="39"/>
        <v>1</v>
      </c>
      <c r="AA189" t="b">
        <f t="shared" si="40"/>
        <v>1</v>
      </c>
      <c r="AB189" t="b">
        <f t="shared" si="41"/>
        <v>1</v>
      </c>
      <c r="AC189" t="b">
        <f t="shared" si="42"/>
        <v>1</v>
      </c>
      <c r="AD189" t="b">
        <f t="shared" si="43"/>
        <v>1</v>
      </c>
      <c r="AE189" t="b">
        <f t="shared" si="44"/>
        <v>1</v>
      </c>
      <c r="AG189" s="1">
        <v>2738034</v>
      </c>
      <c r="AH189" t="s">
        <v>772</v>
      </c>
      <c r="AI189">
        <v>540</v>
      </c>
      <c r="AJ189" t="s">
        <v>503</v>
      </c>
      <c r="AK189" s="2">
        <v>46210</v>
      </c>
      <c r="AL189" s="2">
        <v>46230</v>
      </c>
      <c r="AM189" s="3">
        <v>12</v>
      </c>
      <c r="AN189" t="s">
        <v>8</v>
      </c>
      <c r="AO189" s="3">
        <v>528</v>
      </c>
      <c r="AP189" t="s">
        <v>660</v>
      </c>
      <c r="AR189" t="s">
        <v>528</v>
      </c>
      <c r="AU189" t="s">
        <v>658</v>
      </c>
    </row>
    <row r="190" spans="1:47" x14ac:dyDescent="0.25">
      <c r="A190" s="1">
        <v>2738034</v>
      </c>
      <c r="B190" t="s">
        <v>300</v>
      </c>
      <c r="C190">
        <v>540</v>
      </c>
      <c r="D190" t="s">
        <v>1</v>
      </c>
      <c r="E190" s="2">
        <v>46210</v>
      </c>
      <c r="F190" s="2">
        <v>46230</v>
      </c>
      <c r="G190" s="3">
        <v>1</v>
      </c>
      <c r="H190" t="s">
        <v>51</v>
      </c>
      <c r="I190" s="3">
        <v>1056</v>
      </c>
      <c r="J190" t="s">
        <v>55</v>
      </c>
      <c r="K190" t="s">
        <v>4</v>
      </c>
      <c r="L190" t="s">
        <v>37</v>
      </c>
      <c r="M190" t="s">
        <v>6</v>
      </c>
      <c r="N190" t="s">
        <v>7</v>
      </c>
      <c r="O190" t="s">
        <v>175</v>
      </c>
      <c r="Q190" t="b">
        <f t="shared" si="30"/>
        <v>1</v>
      </c>
      <c r="R190" t="b">
        <f t="shared" si="31"/>
        <v>1</v>
      </c>
      <c r="S190" t="b">
        <f t="shared" si="32"/>
        <v>1</v>
      </c>
      <c r="T190" t="b">
        <f t="shared" si="33"/>
        <v>1</v>
      </c>
      <c r="U190" t="b">
        <f t="shared" si="34"/>
        <v>1</v>
      </c>
      <c r="V190" t="b">
        <f t="shared" si="35"/>
        <v>1</v>
      </c>
      <c r="W190" t="b">
        <f t="shared" si="36"/>
        <v>1</v>
      </c>
      <c r="X190" t="b">
        <f t="shared" si="37"/>
        <v>1</v>
      </c>
      <c r="Y190" t="b">
        <f t="shared" si="38"/>
        <v>1</v>
      </c>
      <c r="Z190" t="b">
        <f t="shared" si="39"/>
        <v>1</v>
      </c>
      <c r="AA190" t="b">
        <f t="shared" si="40"/>
        <v>1</v>
      </c>
      <c r="AB190" t="b">
        <f t="shared" si="41"/>
        <v>1</v>
      </c>
      <c r="AC190" t="b">
        <f t="shared" si="42"/>
        <v>1</v>
      </c>
      <c r="AD190" t="b">
        <f t="shared" si="43"/>
        <v>1</v>
      </c>
      <c r="AE190" t="b">
        <f t="shared" si="44"/>
        <v>1</v>
      </c>
      <c r="AG190" s="1">
        <v>2738034</v>
      </c>
      <c r="AH190" t="s">
        <v>772</v>
      </c>
      <c r="AI190">
        <v>540</v>
      </c>
      <c r="AJ190" t="s">
        <v>503</v>
      </c>
      <c r="AK190" s="2">
        <v>46210</v>
      </c>
      <c r="AL190" s="2">
        <v>46230</v>
      </c>
      <c r="AM190" s="3">
        <v>1</v>
      </c>
      <c r="AN190" t="s">
        <v>51</v>
      </c>
      <c r="AO190" s="3">
        <v>1056</v>
      </c>
      <c r="AP190" t="s">
        <v>543</v>
      </c>
      <c r="AR190" t="s">
        <v>528</v>
      </c>
      <c r="AU190" t="s">
        <v>658</v>
      </c>
    </row>
    <row r="191" spans="1:47" x14ac:dyDescent="0.25">
      <c r="A191" s="1">
        <v>2738034</v>
      </c>
      <c r="B191" t="s">
        <v>300</v>
      </c>
      <c r="C191">
        <v>540</v>
      </c>
      <c r="D191" t="s">
        <v>1</v>
      </c>
      <c r="E191" s="2">
        <v>46210</v>
      </c>
      <c r="F191" s="2">
        <v>46230</v>
      </c>
      <c r="G191" s="3">
        <v>11</v>
      </c>
      <c r="H191" t="s">
        <v>8</v>
      </c>
      <c r="I191" s="3">
        <v>484</v>
      </c>
      <c r="J191" t="s">
        <v>301</v>
      </c>
      <c r="K191" t="s">
        <v>4</v>
      </c>
      <c r="L191" t="s">
        <v>37</v>
      </c>
      <c r="M191" t="s">
        <v>6</v>
      </c>
      <c r="N191" t="s">
        <v>7</v>
      </c>
      <c r="O191" t="s">
        <v>175</v>
      </c>
      <c r="Q191" t="b">
        <f t="shared" si="30"/>
        <v>1</v>
      </c>
      <c r="R191" t="b">
        <f t="shared" si="31"/>
        <v>1</v>
      </c>
      <c r="S191" t="b">
        <f t="shared" si="32"/>
        <v>1</v>
      </c>
      <c r="T191" t="b">
        <f t="shared" si="33"/>
        <v>1</v>
      </c>
      <c r="U191" t="b">
        <f t="shared" si="34"/>
        <v>1</v>
      </c>
      <c r="V191" t="b">
        <f t="shared" si="35"/>
        <v>1</v>
      </c>
      <c r="W191" t="b">
        <f t="shared" si="36"/>
        <v>1</v>
      </c>
      <c r="X191" t="b">
        <f t="shared" si="37"/>
        <v>1</v>
      </c>
      <c r="Y191" t="b">
        <f t="shared" si="38"/>
        <v>1</v>
      </c>
      <c r="Z191" t="b">
        <f t="shared" si="39"/>
        <v>1</v>
      </c>
      <c r="AA191" t="b">
        <f t="shared" si="40"/>
        <v>1</v>
      </c>
      <c r="AB191" t="b">
        <f t="shared" si="41"/>
        <v>1</v>
      </c>
      <c r="AC191" t="b">
        <f t="shared" si="42"/>
        <v>1</v>
      </c>
      <c r="AD191" t="b">
        <f t="shared" si="43"/>
        <v>1</v>
      </c>
      <c r="AE191" t="b">
        <f t="shared" si="44"/>
        <v>1</v>
      </c>
      <c r="AG191" s="1">
        <v>2738034</v>
      </c>
      <c r="AH191" t="s">
        <v>772</v>
      </c>
      <c r="AI191">
        <v>540</v>
      </c>
      <c r="AJ191" t="s">
        <v>503</v>
      </c>
      <c r="AK191" s="2">
        <v>46210</v>
      </c>
      <c r="AL191" s="2">
        <v>46230</v>
      </c>
      <c r="AM191" s="3">
        <v>11</v>
      </c>
      <c r="AN191" t="s">
        <v>8</v>
      </c>
      <c r="AO191" s="3">
        <v>484</v>
      </c>
      <c r="AP191" t="s">
        <v>773</v>
      </c>
      <c r="AR191" t="s">
        <v>528</v>
      </c>
      <c r="AU191" t="s">
        <v>658</v>
      </c>
    </row>
    <row r="192" spans="1:47" x14ac:dyDescent="0.25">
      <c r="A192" s="1">
        <v>2738081</v>
      </c>
      <c r="B192" t="s">
        <v>302</v>
      </c>
      <c r="C192">
        <v>540</v>
      </c>
      <c r="D192" t="s">
        <v>1</v>
      </c>
      <c r="E192" s="2">
        <v>46212</v>
      </c>
      <c r="F192" s="2">
        <v>46230</v>
      </c>
      <c r="G192" s="3">
        <v>10</v>
      </c>
      <c r="H192" t="s">
        <v>2</v>
      </c>
      <c r="I192" s="3">
        <v>400</v>
      </c>
      <c r="J192" t="s">
        <v>3</v>
      </c>
      <c r="K192" t="s">
        <v>4</v>
      </c>
      <c r="L192" t="s">
        <v>37</v>
      </c>
      <c r="M192" t="s">
        <v>6</v>
      </c>
      <c r="N192" t="s">
        <v>7</v>
      </c>
      <c r="O192" t="s">
        <v>303</v>
      </c>
      <c r="Q192" t="b">
        <f t="shared" si="30"/>
        <v>1</v>
      </c>
      <c r="R192" t="b">
        <f t="shared" si="31"/>
        <v>1</v>
      </c>
      <c r="S192" t="b">
        <f t="shared" si="32"/>
        <v>1</v>
      </c>
      <c r="T192" t="b">
        <f t="shared" si="33"/>
        <v>1</v>
      </c>
      <c r="U192" t="b">
        <f t="shared" si="34"/>
        <v>1</v>
      </c>
      <c r="V192" t="b">
        <f t="shared" si="35"/>
        <v>1</v>
      </c>
      <c r="W192" t="b">
        <f t="shared" si="36"/>
        <v>1</v>
      </c>
      <c r="X192" t="b">
        <f t="shared" si="37"/>
        <v>1</v>
      </c>
      <c r="Y192" t="b">
        <f t="shared" si="38"/>
        <v>1</v>
      </c>
      <c r="Z192" t="b">
        <f t="shared" si="39"/>
        <v>1</v>
      </c>
      <c r="AA192" t="b">
        <f t="shared" si="40"/>
        <v>1</v>
      </c>
      <c r="AB192" t="b">
        <f t="shared" si="41"/>
        <v>1</v>
      </c>
      <c r="AC192" t="b">
        <f t="shared" si="42"/>
        <v>1</v>
      </c>
      <c r="AD192" t="b">
        <f t="shared" si="43"/>
        <v>1</v>
      </c>
      <c r="AE192" t="b">
        <f t="shared" si="44"/>
        <v>1</v>
      </c>
      <c r="AG192" s="1">
        <v>2738081</v>
      </c>
      <c r="AH192" t="s">
        <v>774</v>
      </c>
      <c r="AI192">
        <v>540</v>
      </c>
      <c r="AJ192" t="s">
        <v>503</v>
      </c>
      <c r="AK192" s="2">
        <v>46212</v>
      </c>
      <c r="AL192" s="2">
        <v>46230</v>
      </c>
      <c r="AM192" s="3">
        <v>10</v>
      </c>
      <c r="AN192" t="s">
        <v>2</v>
      </c>
      <c r="AO192" s="3">
        <v>400</v>
      </c>
      <c r="AP192" t="s">
        <v>504</v>
      </c>
      <c r="AR192" t="s">
        <v>528</v>
      </c>
      <c r="AU192" t="s">
        <v>775</v>
      </c>
    </row>
    <row r="193" spans="1:47" x14ac:dyDescent="0.25">
      <c r="A193" s="1">
        <v>2738081</v>
      </c>
      <c r="B193" t="s">
        <v>302</v>
      </c>
      <c r="C193">
        <v>540</v>
      </c>
      <c r="D193" t="s">
        <v>1</v>
      </c>
      <c r="E193" s="2">
        <v>46212</v>
      </c>
      <c r="F193" s="2">
        <v>46230</v>
      </c>
      <c r="G193" s="3">
        <v>10</v>
      </c>
      <c r="H193" t="s">
        <v>8</v>
      </c>
      <c r="I193" s="3">
        <v>440</v>
      </c>
      <c r="J193" t="s">
        <v>9</v>
      </c>
      <c r="K193" t="s">
        <v>4</v>
      </c>
      <c r="L193" t="s">
        <v>37</v>
      </c>
      <c r="M193" t="s">
        <v>6</v>
      </c>
      <c r="N193" t="s">
        <v>7</v>
      </c>
      <c r="O193" t="s">
        <v>303</v>
      </c>
      <c r="Q193" t="b">
        <f t="shared" si="30"/>
        <v>1</v>
      </c>
      <c r="R193" t="b">
        <f t="shared" si="31"/>
        <v>1</v>
      </c>
      <c r="S193" t="b">
        <f t="shared" si="32"/>
        <v>1</v>
      </c>
      <c r="T193" t="b">
        <f t="shared" si="33"/>
        <v>1</v>
      </c>
      <c r="U193" t="b">
        <f t="shared" si="34"/>
        <v>1</v>
      </c>
      <c r="V193" t="b">
        <f t="shared" si="35"/>
        <v>1</v>
      </c>
      <c r="W193" t="b">
        <f t="shared" si="36"/>
        <v>1</v>
      </c>
      <c r="X193" t="b">
        <f t="shared" si="37"/>
        <v>1</v>
      </c>
      <c r="Y193" t="b">
        <f t="shared" si="38"/>
        <v>1</v>
      </c>
      <c r="Z193" t="b">
        <f t="shared" si="39"/>
        <v>1</v>
      </c>
      <c r="AA193" t="b">
        <f t="shared" si="40"/>
        <v>1</v>
      </c>
      <c r="AB193" t="b">
        <f t="shared" si="41"/>
        <v>1</v>
      </c>
      <c r="AC193" t="b">
        <f t="shared" si="42"/>
        <v>1</v>
      </c>
      <c r="AD193" t="b">
        <f t="shared" si="43"/>
        <v>1</v>
      </c>
      <c r="AE193" t="b">
        <f t="shared" si="44"/>
        <v>1</v>
      </c>
      <c r="AG193" s="1">
        <v>2738081</v>
      </c>
      <c r="AH193" t="s">
        <v>774</v>
      </c>
      <c r="AI193">
        <v>540</v>
      </c>
      <c r="AJ193" t="s">
        <v>503</v>
      </c>
      <c r="AK193" s="2">
        <v>46212</v>
      </c>
      <c r="AL193" s="2">
        <v>46230</v>
      </c>
      <c r="AM193" s="3">
        <v>10</v>
      </c>
      <c r="AN193" t="s">
        <v>8</v>
      </c>
      <c r="AO193" s="3">
        <v>440</v>
      </c>
      <c r="AP193" t="s">
        <v>506</v>
      </c>
      <c r="AR193" t="s">
        <v>528</v>
      </c>
      <c r="AU193" t="s">
        <v>775</v>
      </c>
    </row>
    <row r="194" spans="1:47" x14ac:dyDescent="0.25">
      <c r="A194" s="1">
        <v>2739093</v>
      </c>
      <c r="B194" t="s">
        <v>304</v>
      </c>
      <c r="C194">
        <v>540</v>
      </c>
      <c r="D194" t="s">
        <v>1</v>
      </c>
      <c r="E194" s="2">
        <v>46230</v>
      </c>
      <c r="F194" s="2">
        <v>46230</v>
      </c>
      <c r="G194" s="3">
        <v>1</v>
      </c>
      <c r="H194" t="s">
        <v>20</v>
      </c>
      <c r="I194" s="3">
        <v>425</v>
      </c>
      <c r="J194" t="s">
        <v>305</v>
      </c>
      <c r="K194" t="s">
        <v>4</v>
      </c>
      <c r="L194" t="s">
        <v>306</v>
      </c>
      <c r="M194" t="s">
        <v>6</v>
      </c>
      <c r="N194" t="s">
        <v>7</v>
      </c>
      <c r="O194" t="s">
        <v>7</v>
      </c>
      <c r="Q194" t="b">
        <f t="shared" si="30"/>
        <v>1</v>
      </c>
      <c r="R194" t="b">
        <f t="shared" si="31"/>
        <v>1</v>
      </c>
      <c r="S194" t="b">
        <f t="shared" si="32"/>
        <v>1</v>
      </c>
      <c r="T194" t="b">
        <f t="shared" si="33"/>
        <v>1</v>
      </c>
      <c r="U194" t="b">
        <f t="shared" si="34"/>
        <v>1</v>
      </c>
      <c r="V194" t="b">
        <f t="shared" si="35"/>
        <v>1</v>
      </c>
      <c r="W194" t="b">
        <f t="shared" si="36"/>
        <v>1</v>
      </c>
      <c r="X194" t="b">
        <f t="shared" si="37"/>
        <v>1</v>
      </c>
      <c r="Y194" t="b">
        <f t="shared" si="38"/>
        <v>1</v>
      </c>
      <c r="Z194" t="b">
        <f t="shared" si="39"/>
        <v>1</v>
      </c>
      <c r="AA194" t="b">
        <f t="shared" si="40"/>
        <v>1</v>
      </c>
      <c r="AB194" t="b">
        <f t="shared" si="41"/>
        <v>1</v>
      </c>
      <c r="AC194" t="b">
        <f t="shared" si="42"/>
        <v>1</v>
      </c>
      <c r="AD194" t="b">
        <f t="shared" si="43"/>
        <v>1</v>
      </c>
      <c r="AE194" t="b">
        <f t="shared" si="44"/>
        <v>1</v>
      </c>
      <c r="AG194" s="1">
        <v>2739093</v>
      </c>
      <c r="AH194" t="s">
        <v>776</v>
      </c>
      <c r="AI194">
        <v>540</v>
      </c>
      <c r="AJ194" t="s">
        <v>503</v>
      </c>
      <c r="AK194" s="2">
        <v>46230</v>
      </c>
      <c r="AL194" s="2">
        <v>46230</v>
      </c>
      <c r="AM194" s="3">
        <v>1</v>
      </c>
      <c r="AN194" t="s">
        <v>20</v>
      </c>
      <c r="AO194" s="3">
        <v>425</v>
      </c>
      <c r="AP194" t="s">
        <v>777</v>
      </c>
      <c r="AR194" t="s">
        <v>778</v>
      </c>
    </row>
    <row r="195" spans="1:47" x14ac:dyDescent="0.25">
      <c r="A195" s="1">
        <v>2740602</v>
      </c>
      <c r="B195" t="s">
        <v>66</v>
      </c>
      <c r="C195">
        <v>540</v>
      </c>
      <c r="D195" t="s">
        <v>15</v>
      </c>
      <c r="E195" s="2">
        <v>46230</v>
      </c>
      <c r="F195" s="2">
        <v>46230</v>
      </c>
      <c r="G195" s="3">
        <v>35000</v>
      </c>
      <c r="H195" t="s">
        <v>16</v>
      </c>
      <c r="I195" s="3">
        <v>35000</v>
      </c>
      <c r="J195" t="s">
        <v>67</v>
      </c>
      <c r="K195" t="s">
        <v>4</v>
      </c>
      <c r="L195" t="s">
        <v>5</v>
      </c>
      <c r="M195" t="s">
        <v>6</v>
      </c>
      <c r="N195" t="s">
        <v>7</v>
      </c>
      <c r="O195" t="s">
        <v>307</v>
      </c>
      <c r="Q195" t="b">
        <f t="shared" si="30"/>
        <v>1</v>
      </c>
      <c r="R195" t="b">
        <f t="shared" si="31"/>
        <v>1</v>
      </c>
      <c r="S195" t="b">
        <f t="shared" si="32"/>
        <v>1</v>
      </c>
      <c r="T195" t="b">
        <f t="shared" si="33"/>
        <v>1</v>
      </c>
      <c r="U195" t="b">
        <f t="shared" si="34"/>
        <v>1</v>
      </c>
      <c r="V195" t="b">
        <f t="shared" si="35"/>
        <v>1</v>
      </c>
      <c r="W195" t="b">
        <f t="shared" si="36"/>
        <v>1</v>
      </c>
      <c r="X195" t="b">
        <f t="shared" si="37"/>
        <v>1</v>
      </c>
      <c r="Y195" t="b">
        <f t="shared" si="38"/>
        <v>1</v>
      </c>
      <c r="Z195" t="b">
        <f t="shared" si="39"/>
        <v>1</v>
      </c>
      <c r="AA195" t="b">
        <f t="shared" si="40"/>
        <v>1</v>
      </c>
      <c r="AB195" t="b">
        <f t="shared" si="41"/>
        <v>1</v>
      </c>
      <c r="AC195" t="b">
        <f t="shared" si="42"/>
        <v>1</v>
      </c>
      <c r="AD195" t="b">
        <f t="shared" si="43"/>
        <v>1</v>
      </c>
      <c r="AE195" t="b">
        <f t="shared" si="44"/>
        <v>1</v>
      </c>
      <c r="AG195" s="1">
        <v>2740602</v>
      </c>
      <c r="AH195" t="s">
        <v>554</v>
      </c>
      <c r="AI195">
        <v>540</v>
      </c>
      <c r="AJ195" t="s">
        <v>511</v>
      </c>
      <c r="AK195" s="2">
        <v>46230</v>
      </c>
      <c r="AL195" s="2">
        <v>46230</v>
      </c>
      <c r="AM195" s="3">
        <v>35000</v>
      </c>
      <c r="AN195" t="s">
        <v>16</v>
      </c>
      <c r="AO195" s="3">
        <v>35000</v>
      </c>
      <c r="AP195" t="s">
        <v>555</v>
      </c>
      <c r="AR195" t="s">
        <v>505</v>
      </c>
      <c r="AU195" t="s">
        <v>779</v>
      </c>
    </row>
    <row r="196" spans="1:47" x14ac:dyDescent="0.25">
      <c r="A196" s="1">
        <v>2742794</v>
      </c>
      <c r="B196" t="s">
        <v>210</v>
      </c>
      <c r="C196">
        <v>540</v>
      </c>
      <c r="D196" t="s">
        <v>1</v>
      </c>
      <c r="E196" s="2">
        <v>46230</v>
      </c>
      <c r="F196" s="2">
        <v>46230</v>
      </c>
      <c r="G196" s="3">
        <v>12</v>
      </c>
      <c r="H196" t="s">
        <v>20</v>
      </c>
      <c r="I196" s="3">
        <v>0</v>
      </c>
      <c r="J196" t="s">
        <v>308</v>
      </c>
      <c r="K196" t="s">
        <v>4</v>
      </c>
      <c r="L196" t="s">
        <v>108</v>
      </c>
      <c r="M196" t="s">
        <v>6</v>
      </c>
      <c r="N196" t="s">
        <v>7</v>
      </c>
      <c r="O196" t="s">
        <v>212</v>
      </c>
      <c r="Q196" t="b">
        <f t="shared" si="30"/>
        <v>1</v>
      </c>
      <c r="R196" t="b">
        <f t="shared" si="31"/>
        <v>1</v>
      </c>
      <c r="S196" t="b">
        <f t="shared" si="32"/>
        <v>1</v>
      </c>
      <c r="T196" t="b">
        <f t="shared" si="33"/>
        <v>1</v>
      </c>
      <c r="U196" t="b">
        <f t="shared" si="34"/>
        <v>1</v>
      </c>
      <c r="V196" t="b">
        <f t="shared" si="35"/>
        <v>1</v>
      </c>
      <c r="W196" t="b">
        <f t="shared" si="36"/>
        <v>1</v>
      </c>
      <c r="X196" t="b">
        <f t="shared" si="37"/>
        <v>1</v>
      </c>
      <c r="Y196" t="b">
        <f t="shared" si="38"/>
        <v>1</v>
      </c>
      <c r="Z196" t="b">
        <f t="shared" si="39"/>
        <v>1</v>
      </c>
      <c r="AA196" t="b">
        <f t="shared" si="40"/>
        <v>1</v>
      </c>
      <c r="AB196" t="b">
        <f t="shared" si="41"/>
        <v>1</v>
      </c>
      <c r="AC196" t="b">
        <f t="shared" si="42"/>
        <v>1</v>
      </c>
      <c r="AD196" t="b">
        <f t="shared" si="43"/>
        <v>1</v>
      </c>
      <c r="AE196" t="b">
        <f t="shared" si="44"/>
        <v>1</v>
      </c>
      <c r="AG196" s="1">
        <v>2742794</v>
      </c>
      <c r="AH196" t="s">
        <v>691</v>
      </c>
      <c r="AI196">
        <v>540</v>
      </c>
      <c r="AJ196" t="s">
        <v>503</v>
      </c>
      <c r="AK196" s="2">
        <v>46230</v>
      </c>
      <c r="AL196" s="2">
        <v>46230</v>
      </c>
      <c r="AM196" s="3">
        <v>12</v>
      </c>
      <c r="AN196" t="s">
        <v>20</v>
      </c>
      <c r="AO196" s="3">
        <v>0</v>
      </c>
      <c r="AP196" t="s">
        <v>780</v>
      </c>
      <c r="AR196" t="s">
        <v>595</v>
      </c>
      <c r="AU196" t="s">
        <v>693</v>
      </c>
    </row>
    <row r="197" spans="1:47" x14ac:dyDescent="0.25">
      <c r="A197" s="1">
        <v>2711935</v>
      </c>
      <c r="B197" t="s">
        <v>309</v>
      </c>
      <c r="C197">
        <v>540</v>
      </c>
      <c r="D197" t="s">
        <v>1</v>
      </c>
      <c r="E197" s="2">
        <v>46231</v>
      </c>
      <c r="F197" s="2">
        <v>46231</v>
      </c>
      <c r="G197" s="3">
        <v>1</v>
      </c>
      <c r="H197" t="s">
        <v>11</v>
      </c>
      <c r="I197" s="3">
        <v>2100</v>
      </c>
      <c r="J197" t="s">
        <v>261</v>
      </c>
      <c r="K197" t="s">
        <v>4</v>
      </c>
      <c r="L197" t="s">
        <v>30</v>
      </c>
      <c r="M197" t="s">
        <v>6</v>
      </c>
      <c r="N197" t="s">
        <v>7</v>
      </c>
      <c r="O197" t="s">
        <v>7</v>
      </c>
      <c r="Q197" t="b">
        <f t="shared" si="30"/>
        <v>1</v>
      </c>
      <c r="R197" t="b">
        <f t="shared" si="31"/>
        <v>1</v>
      </c>
      <c r="S197" t="b">
        <f t="shared" si="32"/>
        <v>1</v>
      </c>
      <c r="T197" t="b">
        <f t="shared" si="33"/>
        <v>1</v>
      </c>
      <c r="U197" t="b">
        <f t="shared" si="34"/>
        <v>1</v>
      </c>
      <c r="V197" t="b">
        <f t="shared" si="35"/>
        <v>1</v>
      </c>
      <c r="W197" t="b">
        <f t="shared" si="36"/>
        <v>1</v>
      </c>
      <c r="X197" t="b">
        <f t="shared" si="37"/>
        <v>1</v>
      </c>
      <c r="Y197" t="b">
        <f t="shared" si="38"/>
        <v>1</v>
      </c>
      <c r="Z197" t="b">
        <f t="shared" si="39"/>
        <v>1</v>
      </c>
      <c r="AA197" t="b">
        <f t="shared" si="40"/>
        <v>1</v>
      </c>
      <c r="AB197" t="b">
        <f t="shared" si="41"/>
        <v>1</v>
      </c>
      <c r="AC197" t="b">
        <f t="shared" si="42"/>
        <v>1</v>
      </c>
      <c r="AD197" t="b">
        <f t="shared" si="43"/>
        <v>1</v>
      </c>
      <c r="AE197" t="b">
        <f t="shared" si="44"/>
        <v>1</v>
      </c>
      <c r="AG197" s="1">
        <v>2711935</v>
      </c>
      <c r="AH197" t="s">
        <v>781</v>
      </c>
      <c r="AI197">
        <v>540</v>
      </c>
      <c r="AJ197" t="s">
        <v>503</v>
      </c>
      <c r="AK197" s="2">
        <v>46231</v>
      </c>
      <c r="AL197" s="2">
        <v>46231</v>
      </c>
      <c r="AM197" s="3">
        <v>1</v>
      </c>
      <c r="AN197" t="s">
        <v>11</v>
      </c>
      <c r="AO197" s="3">
        <v>2100</v>
      </c>
      <c r="AP197" t="s">
        <v>738</v>
      </c>
      <c r="AR197" t="s">
        <v>521</v>
      </c>
    </row>
    <row r="198" spans="1:47" x14ac:dyDescent="0.25">
      <c r="A198" s="1">
        <v>2729251</v>
      </c>
      <c r="B198" t="s">
        <v>222</v>
      </c>
      <c r="C198">
        <v>540</v>
      </c>
      <c r="D198" t="s">
        <v>1</v>
      </c>
      <c r="E198" s="2">
        <v>46231</v>
      </c>
      <c r="F198" s="2">
        <v>46231</v>
      </c>
      <c r="G198" s="3">
        <v>4</v>
      </c>
      <c r="H198" t="s">
        <v>20</v>
      </c>
      <c r="I198" s="3">
        <v>1700</v>
      </c>
      <c r="J198" t="s">
        <v>310</v>
      </c>
      <c r="K198" t="s">
        <v>4</v>
      </c>
      <c r="L198" t="s">
        <v>37</v>
      </c>
      <c r="M198" t="s">
        <v>6</v>
      </c>
      <c r="N198" t="s">
        <v>7</v>
      </c>
      <c r="O198" t="s">
        <v>7</v>
      </c>
      <c r="Q198" t="b">
        <f t="shared" si="30"/>
        <v>1</v>
      </c>
      <c r="R198" t="b">
        <f t="shared" si="31"/>
        <v>1</v>
      </c>
      <c r="S198" t="b">
        <f t="shared" si="32"/>
        <v>1</v>
      </c>
      <c r="T198" t="b">
        <f t="shared" si="33"/>
        <v>1</v>
      </c>
      <c r="U198" t="b">
        <f t="shared" si="34"/>
        <v>1</v>
      </c>
      <c r="V198" t="b">
        <f t="shared" si="35"/>
        <v>1</v>
      </c>
      <c r="W198" t="b">
        <f t="shared" si="36"/>
        <v>1</v>
      </c>
      <c r="X198" t="b">
        <f t="shared" si="37"/>
        <v>1</v>
      </c>
      <c r="Y198" t="b">
        <f t="shared" si="38"/>
        <v>1</v>
      </c>
      <c r="Z198" t="b">
        <f t="shared" si="39"/>
        <v>1</v>
      </c>
      <c r="AA198" t="b">
        <f t="shared" si="40"/>
        <v>1</v>
      </c>
      <c r="AB198" t="b">
        <f t="shared" si="41"/>
        <v>1</v>
      </c>
      <c r="AC198" t="b">
        <f t="shared" si="42"/>
        <v>1</v>
      </c>
      <c r="AD198" t="b">
        <f t="shared" si="43"/>
        <v>1</v>
      </c>
      <c r="AE198" t="b">
        <f t="shared" si="44"/>
        <v>1</v>
      </c>
      <c r="AG198" s="1">
        <v>2729251</v>
      </c>
      <c r="AH198" t="s">
        <v>701</v>
      </c>
      <c r="AI198">
        <v>540</v>
      </c>
      <c r="AJ198" t="s">
        <v>503</v>
      </c>
      <c r="AK198" s="2">
        <v>46231</v>
      </c>
      <c r="AL198" s="2">
        <v>46231</v>
      </c>
      <c r="AM198" s="3">
        <v>4</v>
      </c>
      <c r="AN198" t="s">
        <v>20</v>
      </c>
      <c r="AO198" s="3">
        <v>1700</v>
      </c>
      <c r="AP198" t="s">
        <v>782</v>
      </c>
      <c r="AR198" t="s">
        <v>528</v>
      </c>
    </row>
    <row r="199" spans="1:47" x14ac:dyDescent="0.25">
      <c r="A199" s="1">
        <v>2729930</v>
      </c>
      <c r="B199" t="s">
        <v>35</v>
      </c>
      <c r="C199">
        <v>540</v>
      </c>
      <c r="D199" t="s">
        <v>1</v>
      </c>
      <c r="E199" s="2">
        <v>46231</v>
      </c>
      <c r="F199" s="2">
        <v>46231</v>
      </c>
      <c r="G199" s="3">
        <v>1</v>
      </c>
      <c r="H199" t="s">
        <v>20</v>
      </c>
      <c r="I199" s="3">
        <v>450</v>
      </c>
      <c r="J199" t="s">
        <v>105</v>
      </c>
      <c r="K199" t="s">
        <v>4</v>
      </c>
      <c r="L199" t="s">
        <v>37</v>
      </c>
      <c r="M199" t="s">
        <v>6</v>
      </c>
      <c r="N199" t="s">
        <v>7</v>
      </c>
      <c r="O199" t="s">
        <v>7</v>
      </c>
      <c r="Q199" t="b">
        <f t="shared" si="30"/>
        <v>1</v>
      </c>
      <c r="R199" t="b">
        <f t="shared" si="31"/>
        <v>1</v>
      </c>
      <c r="S199" t="b">
        <f t="shared" si="32"/>
        <v>1</v>
      </c>
      <c r="T199" t="b">
        <f t="shared" si="33"/>
        <v>1</v>
      </c>
      <c r="U199" t="b">
        <f t="shared" si="34"/>
        <v>1</v>
      </c>
      <c r="V199" t="b">
        <f t="shared" si="35"/>
        <v>1</v>
      </c>
      <c r="W199" t="b">
        <f t="shared" si="36"/>
        <v>1</v>
      </c>
      <c r="X199" t="b">
        <f t="shared" si="37"/>
        <v>1</v>
      </c>
      <c r="Y199" t="b">
        <f t="shared" si="38"/>
        <v>1</v>
      </c>
      <c r="Z199" t="b">
        <f t="shared" si="39"/>
        <v>1</v>
      </c>
      <c r="AA199" t="b">
        <f t="shared" si="40"/>
        <v>1</v>
      </c>
      <c r="AB199" t="b">
        <f t="shared" si="41"/>
        <v>1</v>
      </c>
      <c r="AC199" t="b">
        <f t="shared" si="42"/>
        <v>1</v>
      </c>
      <c r="AD199" t="b">
        <f t="shared" si="43"/>
        <v>1</v>
      </c>
      <c r="AE199" t="b">
        <f t="shared" si="44"/>
        <v>1</v>
      </c>
      <c r="AG199" s="1">
        <v>2729930</v>
      </c>
      <c r="AH199" t="s">
        <v>526</v>
      </c>
      <c r="AI199">
        <v>540</v>
      </c>
      <c r="AJ199" t="s">
        <v>503</v>
      </c>
      <c r="AK199" s="2">
        <v>46231</v>
      </c>
      <c r="AL199" s="2">
        <v>46231</v>
      </c>
      <c r="AM199" s="3">
        <v>1</v>
      </c>
      <c r="AN199" t="s">
        <v>20</v>
      </c>
      <c r="AO199" s="3">
        <v>450</v>
      </c>
      <c r="AP199" t="s">
        <v>592</v>
      </c>
      <c r="AR199" t="s">
        <v>528</v>
      </c>
    </row>
    <row r="200" spans="1:47" x14ac:dyDescent="0.25">
      <c r="A200" s="1">
        <v>2738228</v>
      </c>
      <c r="B200" t="s">
        <v>14</v>
      </c>
      <c r="C200">
        <v>530</v>
      </c>
      <c r="D200" t="s">
        <v>15</v>
      </c>
      <c r="E200" s="2">
        <v>46231</v>
      </c>
      <c r="F200" s="2">
        <v>46231</v>
      </c>
      <c r="G200" s="3">
        <v>44000</v>
      </c>
      <c r="H200" t="s">
        <v>16</v>
      </c>
      <c r="I200" s="3">
        <v>44000</v>
      </c>
      <c r="J200" t="s">
        <v>17</v>
      </c>
      <c r="K200" t="s">
        <v>4</v>
      </c>
      <c r="L200" t="s">
        <v>5</v>
      </c>
      <c r="M200" t="s">
        <v>6</v>
      </c>
      <c r="N200" t="s">
        <v>7</v>
      </c>
      <c r="O200" t="s">
        <v>18</v>
      </c>
      <c r="Q200" t="b">
        <f t="shared" si="30"/>
        <v>1</v>
      </c>
      <c r="R200" t="b">
        <f t="shared" si="31"/>
        <v>1</v>
      </c>
      <c r="S200" t="b">
        <f t="shared" si="32"/>
        <v>1</v>
      </c>
      <c r="T200" t="b">
        <f t="shared" si="33"/>
        <v>1</v>
      </c>
      <c r="U200" t="b">
        <f t="shared" si="34"/>
        <v>1</v>
      </c>
      <c r="V200" t="b">
        <f t="shared" si="35"/>
        <v>1</v>
      </c>
      <c r="W200" t="b">
        <f t="shared" si="36"/>
        <v>1</v>
      </c>
      <c r="X200" t="b">
        <f t="shared" si="37"/>
        <v>1</v>
      </c>
      <c r="Y200" t="b">
        <f t="shared" si="38"/>
        <v>1</v>
      </c>
      <c r="Z200" t="b">
        <f t="shared" si="39"/>
        <v>1</v>
      </c>
      <c r="AA200" t="b">
        <f t="shared" si="40"/>
        <v>1</v>
      </c>
      <c r="AB200" t="b">
        <f t="shared" si="41"/>
        <v>1</v>
      </c>
      <c r="AC200" t="b">
        <f t="shared" si="42"/>
        <v>1</v>
      </c>
      <c r="AD200" t="b">
        <f t="shared" si="43"/>
        <v>1</v>
      </c>
      <c r="AE200" t="b">
        <f t="shared" si="44"/>
        <v>1</v>
      </c>
      <c r="AG200" s="1">
        <v>2738228</v>
      </c>
      <c r="AH200" t="s">
        <v>510</v>
      </c>
      <c r="AI200">
        <v>530</v>
      </c>
      <c r="AJ200" t="s">
        <v>511</v>
      </c>
      <c r="AK200" s="2">
        <v>46231</v>
      </c>
      <c r="AL200" s="2">
        <v>46231</v>
      </c>
      <c r="AM200" s="3">
        <v>44000</v>
      </c>
      <c r="AN200" t="s">
        <v>16</v>
      </c>
      <c r="AO200" s="3">
        <v>44000</v>
      </c>
      <c r="AP200" t="s">
        <v>512</v>
      </c>
      <c r="AR200" t="s">
        <v>505</v>
      </c>
      <c r="AU200" t="s">
        <v>513</v>
      </c>
    </row>
    <row r="201" spans="1:47" x14ac:dyDescent="0.25">
      <c r="A201" s="1">
        <v>2738960</v>
      </c>
      <c r="B201" t="s">
        <v>0</v>
      </c>
      <c r="C201">
        <v>540</v>
      </c>
      <c r="D201" t="s">
        <v>1</v>
      </c>
      <c r="E201" s="2">
        <v>46231</v>
      </c>
      <c r="F201" s="2">
        <v>46231</v>
      </c>
      <c r="G201" s="3">
        <v>48</v>
      </c>
      <c r="H201" t="s">
        <v>2</v>
      </c>
      <c r="I201" s="3">
        <v>1920</v>
      </c>
      <c r="J201" t="s">
        <v>3</v>
      </c>
      <c r="K201" t="s">
        <v>4</v>
      </c>
      <c r="L201" t="s">
        <v>5</v>
      </c>
      <c r="M201" t="s">
        <v>6</v>
      </c>
      <c r="N201" t="s">
        <v>7</v>
      </c>
      <c r="O201" t="s">
        <v>7</v>
      </c>
      <c r="Q201" t="b">
        <f t="shared" si="30"/>
        <v>1</v>
      </c>
      <c r="R201" t="b">
        <f t="shared" si="31"/>
        <v>1</v>
      </c>
      <c r="S201" t="b">
        <f t="shared" si="32"/>
        <v>1</v>
      </c>
      <c r="T201" t="b">
        <f t="shared" si="33"/>
        <v>1</v>
      </c>
      <c r="U201" t="b">
        <f t="shared" si="34"/>
        <v>1</v>
      </c>
      <c r="V201" t="b">
        <f t="shared" si="35"/>
        <v>1</v>
      </c>
      <c r="W201" t="b">
        <f t="shared" si="36"/>
        <v>1</v>
      </c>
      <c r="X201" t="b">
        <f t="shared" si="37"/>
        <v>1</v>
      </c>
      <c r="Y201" t="b">
        <f t="shared" si="38"/>
        <v>1</v>
      </c>
      <c r="Z201" t="b">
        <f t="shared" si="39"/>
        <v>1</v>
      </c>
      <c r="AA201" t="b">
        <f t="shared" si="40"/>
        <v>1</v>
      </c>
      <c r="AB201" t="b">
        <f t="shared" si="41"/>
        <v>1</v>
      </c>
      <c r="AC201" t="b">
        <f t="shared" si="42"/>
        <v>1</v>
      </c>
      <c r="AD201" t="b">
        <f t="shared" si="43"/>
        <v>1</v>
      </c>
      <c r="AE201" t="b">
        <f t="shared" si="44"/>
        <v>1</v>
      </c>
      <c r="AG201" s="1">
        <v>2738960</v>
      </c>
      <c r="AH201" t="s">
        <v>502</v>
      </c>
      <c r="AI201">
        <v>540</v>
      </c>
      <c r="AJ201" t="s">
        <v>503</v>
      </c>
      <c r="AK201" s="2">
        <v>46231</v>
      </c>
      <c r="AL201" s="2">
        <v>46231</v>
      </c>
      <c r="AM201" s="3">
        <v>48</v>
      </c>
      <c r="AN201" t="s">
        <v>2</v>
      </c>
      <c r="AO201" s="3">
        <v>1920</v>
      </c>
      <c r="AP201" t="s">
        <v>504</v>
      </c>
      <c r="AR201" t="s">
        <v>505</v>
      </c>
    </row>
    <row r="202" spans="1:47" x14ac:dyDescent="0.25">
      <c r="A202" s="1">
        <v>2738961</v>
      </c>
      <c r="B202" t="s">
        <v>0</v>
      </c>
      <c r="C202">
        <v>540</v>
      </c>
      <c r="D202" t="s">
        <v>1</v>
      </c>
      <c r="E202" s="2">
        <v>46231</v>
      </c>
      <c r="F202" s="2">
        <v>46231</v>
      </c>
      <c r="G202" s="3">
        <v>48</v>
      </c>
      <c r="H202" t="s">
        <v>2</v>
      </c>
      <c r="I202" s="3">
        <v>1920</v>
      </c>
      <c r="J202" t="s">
        <v>3</v>
      </c>
      <c r="K202" t="s">
        <v>4</v>
      </c>
      <c r="L202" t="s">
        <v>5</v>
      </c>
      <c r="M202" t="s">
        <v>6</v>
      </c>
      <c r="N202" t="s">
        <v>7</v>
      </c>
      <c r="O202" t="s">
        <v>7</v>
      </c>
      <c r="Q202" t="b">
        <f t="shared" ref="Q202:Q265" si="45">IFERROR(ABS(A202-AG202)&lt;=0.001,EXACT(A202&amp;"",AG202&amp;""))</f>
        <v>1</v>
      </c>
      <c r="R202" t="b">
        <f t="shared" ref="R202:R265" si="46">EXACT(TRIM(B202&amp;""),TRIM(AH202&amp;""))</f>
        <v>1</v>
      </c>
      <c r="S202" t="b">
        <f t="shared" ref="S202:S265" si="47">EXACT(TRIM(C202&amp;""),TRIM(AI202&amp;""))</f>
        <v>1</v>
      </c>
      <c r="T202" t="b">
        <f t="shared" ref="T202:T265" si="48">EXACT(TRIM(D202&amp;""),TRIM(AJ202&amp;""))</f>
        <v>1</v>
      </c>
      <c r="U202" t="b">
        <f t="shared" ref="U202:U265" si="49">IFERROR(INT(E202)=INT(AK202),EXACT(E202&amp;"",AK202&amp;""))</f>
        <v>1</v>
      </c>
      <c r="V202" t="b">
        <f t="shared" ref="V202:V265" si="50">IFERROR(INT(F202)=INT(AL202),EXACT(F202&amp;"",AL202&amp;""))</f>
        <v>1</v>
      </c>
      <c r="W202" t="b">
        <f t="shared" ref="W202:W265" si="51">IFERROR(ROUND(G202,0)=ROUND(AM202,0),EXACT(G202&amp;"",AM202&amp;""))</f>
        <v>1</v>
      </c>
      <c r="X202" t="b">
        <f t="shared" ref="X202:X265" si="52">EXACT(TRIM(H202&amp;""),TRIM(AN202&amp;""))</f>
        <v>1</v>
      </c>
      <c r="Y202" t="b">
        <f t="shared" ref="Y202:Y265" si="53">IFERROR(ROUND(I202,0)=ROUND(AO202,0),EXACT(I202&amp;"",AO202&amp;""))</f>
        <v>1</v>
      </c>
      <c r="Z202" t="b">
        <f t="shared" ref="Z202:Z265" si="54">EXACT(TRIM(J202&amp;""),TRIM(AP202&amp;""))</f>
        <v>1</v>
      </c>
      <c r="AA202" t="b">
        <f t="shared" ref="AA202:AA265" si="55">EXACT(TRIM(K202&amp;""),TRIM(AQ202&amp;""))</f>
        <v>1</v>
      </c>
      <c r="AB202" t="b">
        <f t="shared" ref="AB202:AB265" si="56">EXACT(TRIM(L202&amp;""),TRIM(AR202&amp;""))</f>
        <v>1</v>
      </c>
      <c r="AC202" t="b">
        <f t="shared" ref="AC202:AC265" si="57">EXACT(TRIM(M202&amp;""),TRIM(AS202&amp;""))</f>
        <v>1</v>
      </c>
      <c r="AD202" t="b">
        <f t="shared" ref="AD202:AD265" si="58">EXACT(TRIM(N202&amp;""),TRIM(AT202&amp;""))</f>
        <v>1</v>
      </c>
      <c r="AE202" t="b">
        <f t="shared" ref="AE202:AE265" si="59">EXACT(TRIM(O202&amp;""),TRIM(AU202&amp;""))</f>
        <v>1</v>
      </c>
      <c r="AG202" s="1">
        <v>2738961</v>
      </c>
      <c r="AH202" t="s">
        <v>502</v>
      </c>
      <c r="AI202">
        <v>540</v>
      </c>
      <c r="AJ202" t="s">
        <v>503</v>
      </c>
      <c r="AK202" s="2">
        <v>46231</v>
      </c>
      <c r="AL202" s="2">
        <v>46231</v>
      </c>
      <c r="AM202" s="3">
        <v>48</v>
      </c>
      <c r="AN202" t="s">
        <v>2</v>
      </c>
      <c r="AO202" s="3">
        <v>1920</v>
      </c>
      <c r="AP202" t="s">
        <v>504</v>
      </c>
      <c r="AR202" t="s">
        <v>505</v>
      </c>
    </row>
    <row r="203" spans="1:47" x14ac:dyDescent="0.25">
      <c r="A203" s="1">
        <v>2738962</v>
      </c>
      <c r="B203" t="s">
        <v>0</v>
      </c>
      <c r="C203">
        <v>540</v>
      </c>
      <c r="D203" t="s">
        <v>1</v>
      </c>
      <c r="E203" s="2">
        <v>46231</v>
      </c>
      <c r="F203" s="2">
        <v>46231</v>
      </c>
      <c r="G203" s="3">
        <v>96</v>
      </c>
      <c r="H203" t="s">
        <v>2</v>
      </c>
      <c r="I203" s="3">
        <v>3840</v>
      </c>
      <c r="J203" t="s">
        <v>3</v>
      </c>
      <c r="K203" t="s">
        <v>4</v>
      </c>
      <c r="L203" t="s">
        <v>5</v>
      </c>
      <c r="M203" t="s">
        <v>6</v>
      </c>
      <c r="N203" t="s">
        <v>7</v>
      </c>
      <c r="O203" t="s">
        <v>7</v>
      </c>
      <c r="Q203" t="b">
        <f t="shared" si="45"/>
        <v>1</v>
      </c>
      <c r="R203" t="b">
        <f t="shared" si="46"/>
        <v>1</v>
      </c>
      <c r="S203" t="b">
        <f t="shared" si="47"/>
        <v>1</v>
      </c>
      <c r="T203" t="b">
        <f t="shared" si="48"/>
        <v>1</v>
      </c>
      <c r="U203" t="b">
        <f t="shared" si="49"/>
        <v>1</v>
      </c>
      <c r="V203" t="b">
        <f t="shared" si="50"/>
        <v>1</v>
      </c>
      <c r="W203" t="b">
        <f t="shared" si="51"/>
        <v>1</v>
      </c>
      <c r="X203" t="b">
        <f t="shared" si="52"/>
        <v>1</v>
      </c>
      <c r="Y203" t="b">
        <f t="shared" si="53"/>
        <v>1</v>
      </c>
      <c r="Z203" t="b">
        <f t="shared" si="54"/>
        <v>1</v>
      </c>
      <c r="AA203" t="b">
        <f t="shared" si="55"/>
        <v>1</v>
      </c>
      <c r="AB203" t="b">
        <f t="shared" si="56"/>
        <v>1</v>
      </c>
      <c r="AC203" t="b">
        <f t="shared" si="57"/>
        <v>1</v>
      </c>
      <c r="AD203" t="b">
        <f t="shared" si="58"/>
        <v>1</v>
      </c>
      <c r="AE203" t="b">
        <f t="shared" si="59"/>
        <v>1</v>
      </c>
      <c r="AG203" s="1">
        <v>2738962</v>
      </c>
      <c r="AH203" t="s">
        <v>502</v>
      </c>
      <c r="AI203">
        <v>540</v>
      </c>
      <c r="AJ203" t="s">
        <v>503</v>
      </c>
      <c r="AK203" s="2">
        <v>46231</v>
      </c>
      <c r="AL203" s="2">
        <v>46231</v>
      </c>
      <c r="AM203" s="3">
        <v>96</v>
      </c>
      <c r="AN203" t="s">
        <v>2</v>
      </c>
      <c r="AO203" s="3">
        <v>3840</v>
      </c>
      <c r="AP203" t="s">
        <v>504</v>
      </c>
      <c r="AR203" t="s">
        <v>505</v>
      </c>
    </row>
    <row r="204" spans="1:47" x14ac:dyDescent="0.25">
      <c r="A204" s="1">
        <v>2738962</v>
      </c>
      <c r="B204" t="s">
        <v>0</v>
      </c>
      <c r="C204">
        <v>540</v>
      </c>
      <c r="D204" t="s">
        <v>1</v>
      </c>
      <c r="E204" s="2">
        <v>46231</v>
      </c>
      <c r="F204" s="2">
        <v>46231</v>
      </c>
      <c r="G204" s="3">
        <v>48</v>
      </c>
      <c r="H204" t="s">
        <v>2</v>
      </c>
      <c r="I204" s="3">
        <v>1920</v>
      </c>
      <c r="J204" t="s">
        <v>311</v>
      </c>
      <c r="K204" t="s">
        <v>4</v>
      </c>
      <c r="L204" t="s">
        <v>5</v>
      </c>
      <c r="M204" t="s">
        <v>6</v>
      </c>
      <c r="N204" t="s">
        <v>7</v>
      </c>
      <c r="O204" t="s">
        <v>7</v>
      </c>
      <c r="Q204" t="b">
        <f t="shared" si="45"/>
        <v>1</v>
      </c>
      <c r="R204" t="b">
        <f t="shared" si="46"/>
        <v>1</v>
      </c>
      <c r="S204" t="b">
        <f t="shared" si="47"/>
        <v>1</v>
      </c>
      <c r="T204" t="b">
        <f t="shared" si="48"/>
        <v>1</v>
      </c>
      <c r="U204" t="b">
        <f t="shared" si="49"/>
        <v>1</v>
      </c>
      <c r="V204" t="b">
        <f t="shared" si="50"/>
        <v>1</v>
      </c>
      <c r="W204" t="b">
        <f t="shared" si="51"/>
        <v>1</v>
      </c>
      <c r="X204" t="b">
        <f t="shared" si="52"/>
        <v>1</v>
      </c>
      <c r="Y204" t="b">
        <f t="shared" si="53"/>
        <v>1</v>
      </c>
      <c r="Z204" t="b">
        <f t="shared" si="54"/>
        <v>1</v>
      </c>
      <c r="AA204" t="b">
        <f t="shared" si="55"/>
        <v>1</v>
      </c>
      <c r="AB204" t="b">
        <f t="shared" si="56"/>
        <v>1</v>
      </c>
      <c r="AC204" t="b">
        <f t="shared" si="57"/>
        <v>1</v>
      </c>
      <c r="AD204" t="b">
        <f t="shared" si="58"/>
        <v>1</v>
      </c>
      <c r="AE204" t="b">
        <f t="shared" si="59"/>
        <v>1</v>
      </c>
      <c r="AG204" s="1">
        <v>2738962</v>
      </c>
      <c r="AH204" t="s">
        <v>502</v>
      </c>
      <c r="AI204">
        <v>540</v>
      </c>
      <c r="AJ204" t="s">
        <v>503</v>
      </c>
      <c r="AK204" s="2">
        <v>46231</v>
      </c>
      <c r="AL204" s="2">
        <v>46231</v>
      </c>
      <c r="AM204" s="3">
        <v>48</v>
      </c>
      <c r="AN204" t="s">
        <v>2</v>
      </c>
      <c r="AO204" s="3">
        <v>1920</v>
      </c>
      <c r="AP204" t="s">
        <v>783</v>
      </c>
      <c r="AR204" t="s">
        <v>505</v>
      </c>
    </row>
    <row r="205" spans="1:47" x14ac:dyDescent="0.25">
      <c r="A205" s="1">
        <v>2738963</v>
      </c>
      <c r="B205" t="s">
        <v>0</v>
      </c>
      <c r="C205">
        <v>540</v>
      </c>
      <c r="D205" t="s">
        <v>1</v>
      </c>
      <c r="E205" s="2">
        <v>46231</v>
      </c>
      <c r="F205" s="2">
        <v>46231</v>
      </c>
      <c r="G205" s="3">
        <v>48</v>
      </c>
      <c r="H205" t="s">
        <v>2</v>
      </c>
      <c r="I205" s="3">
        <v>1920</v>
      </c>
      <c r="J205" t="s">
        <v>312</v>
      </c>
      <c r="K205" t="s">
        <v>4</v>
      </c>
      <c r="L205" t="s">
        <v>5</v>
      </c>
      <c r="M205" t="s">
        <v>6</v>
      </c>
      <c r="N205" t="s">
        <v>7</v>
      </c>
      <c r="O205" t="s">
        <v>7</v>
      </c>
      <c r="Q205" t="b">
        <f t="shared" si="45"/>
        <v>1</v>
      </c>
      <c r="R205" t="b">
        <f t="shared" si="46"/>
        <v>1</v>
      </c>
      <c r="S205" t="b">
        <f t="shared" si="47"/>
        <v>1</v>
      </c>
      <c r="T205" t="b">
        <f t="shared" si="48"/>
        <v>1</v>
      </c>
      <c r="U205" t="b">
        <f t="shared" si="49"/>
        <v>1</v>
      </c>
      <c r="V205" t="b">
        <f t="shared" si="50"/>
        <v>1</v>
      </c>
      <c r="W205" t="b">
        <f t="shared" si="51"/>
        <v>1</v>
      </c>
      <c r="X205" t="b">
        <f t="shared" si="52"/>
        <v>1</v>
      </c>
      <c r="Y205" t="b">
        <f t="shared" si="53"/>
        <v>1</v>
      </c>
      <c r="Z205" t="b">
        <f t="shared" si="54"/>
        <v>1</v>
      </c>
      <c r="AA205" t="b">
        <f t="shared" si="55"/>
        <v>1</v>
      </c>
      <c r="AB205" t="b">
        <f t="shared" si="56"/>
        <v>1</v>
      </c>
      <c r="AC205" t="b">
        <f t="shared" si="57"/>
        <v>1</v>
      </c>
      <c r="AD205" t="b">
        <f t="shared" si="58"/>
        <v>1</v>
      </c>
      <c r="AE205" t="b">
        <f t="shared" si="59"/>
        <v>1</v>
      </c>
      <c r="AG205" s="1">
        <v>2738963</v>
      </c>
      <c r="AH205" t="s">
        <v>502</v>
      </c>
      <c r="AI205">
        <v>540</v>
      </c>
      <c r="AJ205" t="s">
        <v>503</v>
      </c>
      <c r="AK205" s="2">
        <v>46231</v>
      </c>
      <c r="AL205" s="2">
        <v>46231</v>
      </c>
      <c r="AM205" s="3">
        <v>48</v>
      </c>
      <c r="AN205" t="s">
        <v>2</v>
      </c>
      <c r="AO205" s="3">
        <v>1920</v>
      </c>
      <c r="AP205" t="s">
        <v>784</v>
      </c>
      <c r="AR205" t="s">
        <v>505</v>
      </c>
    </row>
    <row r="206" spans="1:47" x14ac:dyDescent="0.25">
      <c r="A206" s="1">
        <v>2738963</v>
      </c>
      <c r="B206" t="s">
        <v>0</v>
      </c>
      <c r="C206">
        <v>540</v>
      </c>
      <c r="D206" t="s">
        <v>1</v>
      </c>
      <c r="E206" s="2">
        <v>46231</v>
      </c>
      <c r="F206" s="2">
        <v>46231</v>
      </c>
      <c r="G206" s="3">
        <v>96</v>
      </c>
      <c r="H206" t="s">
        <v>2</v>
      </c>
      <c r="I206" s="3">
        <v>3840</v>
      </c>
      <c r="J206" t="s">
        <v>3</v>
      </c>
      <c r="K206" t="s">
        <v>4</v>
      </c>
      <c r="L206" t="s">
        <v>5</v>
      </c>
      <c r="M206" t="s">
        <v>6</v>
      </c>
      <c r="N206" t="s">
        <v>7</v>
      </c>
      <c r="O206" t="s">
        <v>7</v>
      </c>
      <c r="Q206" t="b">
        <f t="shared" si="45"/>
        <v>1</v>
      </c>
      <c r="R206" t="b">
        <f t="shared" si="46"/>
        <v>1</v>
      </c>
      <c r="S206" t="b">
        <f t="shared" si="47"/>
        <v>1</v>
      </c>
      <c r="T206" t="b">
        <f t="shared" si="48"/>
        <v>1</v>
      </c>
      <c r="U206" t="b">
        <f t="shared" si="49"/>
        <v>1</v>
      </c>
      <c r="V206" t="b">
        <f t="shared" si="50"/>
        <v>1</v>
      </c>
      <c r="W206" t="b">
        <f t="shared" si="51"/>
        <v>1</v>
      </c>
      <c r="X206" t="b">
        <f t="shared" si="52"/>
        <v>1</v>
      </c>
      <c r="Y206" t="b">
        <f t="shared" si="53"/>
        <v>1</v>
      </c>
      <c r="Z206" t="b">
        <f t="shared" si="54"/>
        <v>1</v>
      </c>
      <c r="AA206" t="b">
        <f t="shared" si="55"/>
        <v>1</v>
      </c>
      <c r="AB206" t="b">
        <f t="shared" si="56"/>
        <v>1</v>
      </c>
      <c r="AC206" t="b">
        <f t="shared" si="57"/>
        <v>1</v>
      </c>
      <c r="AD206" t="b">
        <f t="shared" si="58"/>
        <v>1</v>
      </c>
      <c r="AE206" t="b">
        <f t="shared" si="59"/>
        <v>1</v>
      </c>
      <c r="AG206" s="1">
        <v>2738963</v>
      </c>
      <c r="AH206" t="s">
        <v>502</v>
      </c>
      <c r="AI206">
        <v>540</v>
      </c>
      <c r="AJ206" t="s">
        <v>503</v>
      </c>
      <c r="AK206" s="2">
        <v>46231</v>
      </c>
      <c r="AL206" s="2">
        <v>46231</v>
      </c>
      <c r="AM206" s="3">
        <v>96</v>
      </c>
      <c r="AN206" t="s">
        <v>2</v>
      </c>
      <c r="AO206" s="3">
        <v>3840</v>
      </c>
      <c r="AP206" t="s">
        <v>504</v>
      </c>
      <c r="AR206" t="s">
        <v>505</v>
      </c>
    </row>
    <row r="207" spans="1:47" x14ac:dyDescent="0.25">
      <c r="A207" s="1">
        <v>2738963</v>
      </c>
      <c r="B207" t="s">
        <v>0</v>
      </c>
      <c r="C207">
        <v>540</v>
      </c>
      <c r="D207" t="s">
        <v>1</v>
      </c>
      <c r="E207" s="2">
        <v>46231</v>
      </c>
      <c r="F207" s="2">
        <v>46231</v>
      </c>
      <c r="G207" s="3">
        <v>24</v>
      </c>
      <c r="H207" t="s">
        <v>8</v>
      </c>
      <c r="I207" s="3">
        <v>1056</v>
      </c>
      <c r="J207" t="s">
        <v>178</v>
      </c>
      <c r="K207" t="s">
        <v>4</v>
      </c>
      <c r="L207" t="s">
        <v>5</v>
      </c>
      <c r="M207" t="s">
        <v>6</v>
      </c>
      <c r="N207" t="s">
        <v>7</v>
      </c>
      <c r="O207" t="s">
        <v>7</v>
      </c>
      <c r="Q207" t="b">
        <f t="shared" si="45"/>
        <v>1</v>
      </c>
      <c r="R207" t="b">
        <f t="shared" si="46"/>
        <v>1</v>
      </c>
      <c r="S207" t="b">
        <f t="shared" si="47"/>
        <v>1</v>
      </c>
      <c r="T207" t="b">
        <f t="shared" si="48"/>
        <v>1</v>
      </c>
      <c r="U207" t="b">
        <f t="shared" si="49"/>
        <v>1</v>
      </c>
      <c r="V207" t="b">
        <f t="shared" si="50"/>
        <v>1</v>
      </c>
      <c r="W207" t="b">
        <f t="shared" si="51"/>
        <v>1</v>
      </c>
      <c r="X207" t="b">
        <f t="shared" si="52"/>
        <v>1</v>
      </c>
      <c r="Y207" t="b">
        <f t="shared" si="53"/>
        <v>1</v>
      </c>
      <c r="Z207" t="b">
        <f t="shared" si="54"/>
        <v>1</v>
      </c>
      <c r="AA207" t="b">
        <f t="shared" si="55"/>
        <v>1</v>
      </c>
      <c r="AB207" t="b">
        <f t="shared" si="56"/>
        <v>1</v>
      </c>
      <c r="AC207" t="b">
        <f t="shared" si="57"/>
        <v>1</v>
      </c>
      <c r="AD207" t="b">
        <f t="shared" si="58"/>
        <v>1</v>
      </c>
      <c r="AE207" t="b">
        <f t="shared" si="59"/>
        <v>1</v>
      </c>
      <c r="AG207" s="1">
        <v>2738963</v>
      </c>
      <c r="AH207" t="s">
        <v>502</v>
      </c>
      <c r="AI207">
        <v>540</v>
      </c>
      <c r="AJ207" t="s">
        <v>503</v>
      </c>
      <c r="AK207" s="2">
        <v>46231</v>
      </c>
      <c r="AL207" s="2">
        <v>46231</v>
      </c>
      <c r="AM207" s="3">
        <v>24</v>
      </c>
      <c r="AN207" t="s">
        <v>8</v>
      </c>
      <c r="AO207" s="3">
        <v>1056</v>
      </c>
      <c r="AP207" t="s">
        <v>660</v>
      </c>
      <c r="AR207" t="s">
        <v>505</v>
      </c>
    </row>
    <row r="208" spans="1:47" x14ac:dyDescent="0.25">
      <c r="A208" s="1">
        <v>2738964</v>
      </c>
      <c r="B208" t="s">
        <v>0</v>
      </c>
      <c r="C208">
        <v>540</v>
      </c>
      <c r="D208" t="s">
        <v>1</v>
      </c>
      <c r="E208" s="2">
        <v>46231</v>
      </c>
      <c r="F208" s="2">
        <v>46231</v>
      </c>
      <c r="G208" s="3">
        <v>24</v>
      </c>
      <c r="H208" t="s">
        <v>8</v>
      </c>
      <c r="I208" s="3">
        <v>1056</v>
      </c>
      <c r="J208" t="s">
        <v>9</v>
      </c>
      <c r="K208" t="s">
        <v>4</v>
      </c>
      <c r="L208" t="s">
        <v>5</v>
      </c>
      <c r="M208" t="s">
        <v>6</v>
      </c>
      <c r="N208" t="s">
        <v>7</v>
      </c>
      <c r="O208" t="s">
        <v>7</v>
      </c>
      <c r="Q208" t="b">
        <f t="shared" si="45"/>
        <v>1</v>
      </c>
      <c r="R208" t="b">
        <f t="shared" si="46"/>
        <v>1</v>
      </c>
      <c r="S208" t="b">
        <f t="shared" si="47"/>
        <v>1</v>
      </c>
      <c r="T208" t="b">
        <f t="shared" si="48"/>
        <v>1</v>
      </c>
      <c r="U208" t="b">
        <f t="shared" si="49"/>
        <v>1</v>
      </c>
      <c r="V208" t="b">
        <f t="shared" si="50"/>
        <v>1</v>
      </c>
      <c r="W208" t="b">
        <f t="shared" si="51"/>
        <v>1</v>
      </c>
      <c r="X208" t="b">
        <f t="shared" si="52"/>
        <v>1</v>
      </c>
      <c r="Y208" t="b">
        <f t="shared" si="53"/>
        <v>1</v>
      </c>
      <c r="Z208" t="b">
        <f t="shared" si="54"/>
        <v>1</v>
      </c>
      <c r="AA208" t="b">
        <f t="shared" si="55"/>
        <v>1</v>
      </c>
      <c r="AB208" t="b">
        <f t="shared" si="56"/>
        <v>1</v>
      </c>
      <c r="AC208" t="b">
        <f t="shared" si="57"/>
        <v>1</v>
      </c>
      <c r="AD208" t="b">
        <f t="shared" si="58"/>
        <v>1</v>
      </c>
      <c r="AE208" t="b">
        <f t="shared" si="59"/>
        <v>1</v>
      </c>
      <c r="AG208" s="1">
        <v>2738964</v>
      </c>
      <c r="AH208" t="s">
        <v>502</v>
      </c>
      <c r="AI208">
        <v>540</v>
      </c>
      <c r="AJ208" t="s">
        <v>503</v>
      </c>
      <c r="AK208" s="2">
        <v>46231</v>
      </c>
      <c r="AL208" s="2">
        <v>46231</v>
      </c>
      <c r="AM208" s="3">
        <v>24</v>
      </c>
      <c r="AN208" t="s">
        <v>8</v>
      </c>
      <c r="AO208" s="3">
        <v>1056</v>
      </c>
      <c r="AP208" t="s">
        <v>506</v>
      </c>
      <c r="AR208" t="s">
        <v>505</v>
      </c>
    </row>
    <row r="209" spans="1:47" x14ac:dyDescent="0.25">
      <c r="A209" s="1">
        <v>2739816</v>
      </c>
      <c r="B209" t="s">
        <v>0</v>
      </c>
      <c r="C209">
        <v>540</v>
      </c>
      <c r="D209" t="s">
        <v>1</v>
      </c>
      <c r="E209" s="2">
        <v>46231</v>
      </c>
      <c r="F209" s="2">
        <v>46231</v>
      </c>
      <c r="G209" s="3">
        <v>48</v>
      </c>
      <c r="H209" t="s">
        <v>8</v>
      </c>
      <c r="I209" s="3">
        <v>2112</v>
      </c>
      <c r="J209" t="s">
        <v>313</v>
      </c>
      <c r="K209" t="s">
        <v>4</v>
      </c>
      <c r="L209" t="s">
        <v>5</v>
      </c>
      <c r="M209" t="s">
        <v>6</v>
      </c>
      <c r="N209" t="s">
        <v>7</v>
      </c>
      <c r="O209" t="s">
        <v>7</v>
      </c>
      <c r="Q209" t="b">
        <f t="shared" si="45"/>
        <v>1</v>
      </c>
      <c r="R209" t="b">
        <f t="shared" si="46"/>
        <v>1</v>
      </c>
      <c r="S209" t="b">
        <f t="shared" si="47"/>
        <v>1</v>
      </c>
      <c r="T209" t="b">
        <f t="shared" si="48"/>
        <v>1</v>
      </c>
      <c r="U209" t="b">
        <f t="shared" si="49"/>
        <v>1</v>
      </c>
      <c r="V209" t="b">
        <f t="shared" si="50"/>
        <v>1</v>
      </c>
      <c r="W209" t="b">
        <f t="shared" si="51"/>
        <v>1</v>
      </c>
      <c r="X209" t="b">
        <f t="shared" si="52"/>
        <v>1</v>
      </c>
      <c r="Y209" t="b">
        <f t="shared" si="53"/>
        <v>1</v>
      </c>
      <c r="Z209" t="b">
        <f t="shared" si="54"/>
        <v>1</v>
      </c>
      <c r="AA209" t="b">
        <f t="shared" si="55"/>
        <v>1</v>
      </c>
      <c r="AB209" t="b">
        <f t="shared" si="56"/>
        <v>1</v>
      </c>
      <c r="AC209" t="b">
        <f t="shared" si="57"/>
        <v>1</v>
      </c>
      <c r="AD209" t="b">
        <f t="shared" si="58"/>
        <v>1</v>
      </c>
      <c r="AE209" t="b">
        <f t="shared" si="59"/>
        <v>1</v>
      </c>
      <c r="AG209" s="1">
        <v>2739816</v>
      </c>
      <c r="AH209" t="s">
        <v>502</v>
      </c>
      <c r="AI209">
        <v>540</v>
      </c>
      <c r="AJ209" t="s">
        <v>503</v>
      </c>
      <c r="AK209" s="2">
        <v>46231</v>
      </c>
      <c r="AL209" s="2">
        <v>46231</v>
      </c>
      <c r="AM209" s="3">
        <v>48</v>
      </c>
      <c r="AN209" t="s">
        <v>8</v>
      </c>
      <c r="AO209" s="3">
        <v>2112</v>
      </c>
      <c r="AP209" t="s">
        <v>785</v>
      </c>
      <c r="AR209" t="s">
        <v>505</v>
      </c>
    </row>
    <row r="210" spans="1:47" x14ac:dyDescent="0.25">
      <c r="A210" s="1">
        <v>2743532</v>
      </c>
      <c r="B210" t="s">
        <v>190</v>
      </c>
      <c r="C210">
        <v>540</v>
      </c>
      <c r="D210" t="s">
        <v>1</v>
      </c>
      <c r="E210" s="2">
        <v>46231</v>
      </c>
      <c r="F210" s="2">
        <v>46231</v>
      </c>
      <c r="G210" s="3">
        <v>13</v>
      </c>
      <c r="H210" t="s">
        <v>11</v>
      </c>
      <c r="I210" s="3">
        <v>40300</v>
      </c>
      <c r="J210" t="s">
        <v>80</v>
      </c>
      <c r="K210" t="s">
        <v>4</v>
      </c>
      <c r="L210" t="s">
        <v>108</v>
      </c>
      <c r="M210" t="s">
        <v>6</v>
      </c>
      <c r="N210" t="s">
        <v>7</v>
      </c>
      <c r="O210" t="s">
        <v>7</v>
      </c>
      <c r="Q210" t="b">
        <f t="shared" si="45"/>
        <v>1</v>
      </c>
      <c r="R210" t="b">
        <f t="shared" si="46"/>
        <v>1</v>
      </c>
      <c r="S210" t="b">
        <f t="shared" si="47"/>
        <v>1</v>
      </c>
      <c r="T210" t="b">
        <f t="shared" si="48"/>
        <v>1</v>
      </c>
      <c r="U210" t="b">
        <f t="shared" si="49"/>
        <v>1</v>
      </c>
      <c r="V210" t="b">
        <f t="shared" si="50"/>
        <v>1</v>
      </c>
      <c r="W210" t="b">
        <f t="shared" si="51"/>
        <v>1</v>
      </c>
      <c r="X210" t="b">
        <f t="shared" si="52"/>
        <v>1</v>
      </c>
      <c r="Y210" t="b">
        <f t="shared" si="53"/>
        <v>1</v>
      </c>
      <c r="Z210" t="b">
        <f t="shared" si="54"/>
        <v>1</v>
      </c>
      <c r="AA210" t="b">
        <f t="shared" si="55"/>
        <v>1</v>
      </c>
      <c r="AB210" t="b">
        <f t="shared" si="56"/>
        <v>1</v>
      </c>
      <c r="AC210" t="b">
        <f t="shared" si="57"/>
        <v>1</v>
      </c>
      <c r="AD210" t="b">
        <f t="shared" si="58"/>
        <v>1</v>
      </c>
      <c r="AE210" t="b">
        <f t="shared" si="59"/>
        <v>1</v>
      </c>
      <c r="AG210" s="1">
        <v>2743532</v>
      </c>
      <c r="AH210" t="s">
        <v>671</v>
      </c>
      <c r="AI210">
        <v>540</v>
      </c>
      <c r="AJ210" t="s">
        <v>503</v>
      </c>
      <c r="AK210" s="2">
        <v>46231</v>
      </c>
      <c r="AL210" s="2">
        <v>46231</v>
      </c>
      <c r="AM210" s="3">
        <v>13</v>
      </c>
      <c r="AN210" t="s">
        <v>11</v>
      </c>
      <c r="AO210" s="3">
        <v>40300</v>
      </c>
      <c r="AP210" t="s">
        <v>568</v>
      </c>
      <c r="AR210" t="s">
        <v>595</v>
      </c>
    </row>
    <row r="211" spans="1:47" x14ac:dyDescent="0.25">
      <c r="A211" s="1">
        <v>2726815</v>
      </c>
      <c r="B211" t="s">
        <v>314</v>
      </c>
      <c r="C211">
        <v>525</v>
      </c>
      <c r="D211" t="s">
        <v>1</v>
      </c>
      <c r="E211" s="2">
        <v>46223</v>
      </c>
      <c r="F211" s="2">
        <v>46232</v>
      </c>
      <c r="G211" s="3">
        <v>4</v>
      </c>
      <c r="H211" t="s">
        <v>2</v>
      </c>
      <c r="I211" s="3">
        <v>160</v>
      </c>
      <c r="J211" t="s">
        <v>315</v>
      </c>
      <c r="K211" t="s">
        <v>130</v>
      </c>
      <c r="L211" t="s">
        <v>146</v>
      </c>
      <c r="M211" t="s">
        <v>6</v>
      </c>
      <c r="N211" t="s">
        <v>7</v>
      </c>
      <c r="O211" t="s">
        <v>316</v>
      </c>
      <c r="Q211" t="b">
        <f t="shared" si="45"/>
        <v>1</v>
      </c>
      <c r="R211" t="b">
        <f t="shared" si="46"/>
        <v>1</v>
      </c>
      <c r="S211" t="b">
        <f t="shared" si="47"/>
        <v>1</v>
      </c>
      <c r="T211" t="b">
        <f t="shared" si="48"/>
        <v>1</v>
      </c>
      <c r="U211" t="b">
        <f t="shared" si="49"/>
        <v>1</v>
      </c>
      <c r="V211" t="b">
        <f t="shared" si="50"/>
        <v>1</v>
      </c>
      <c r="W211" t="b">
        <f t="shared" si="51"/>
        <v>1</v>
      </c>
      <c r="X211" t="b">
        <f t="shared" si="52"/>
        <v>1</v>
      </c>
      <c r="Y211" t="b">
        <f t="shared" si="53"/>
        <v>1</v>
      </c>
      <c r="Z211" t="b">
        <f t="shared" si="54"/>
        <v>1</v>
      </c>
      <c r="AA211" t="b">
        <f t="shared" si="55"/>
        <v>1</v>
      </c>
      <c r="AB211" t="b">
        <f t="shared" si="56"/>
        <v>1</v>
      </c>
      <c r="AC211" t="b">
        <f t="shared" si="57"/>
        <v>1</v>
      </c>
      <c r="AD211" t="b">
        <f t="shared" si="58"/>
        <v>1</v>
      </c>
      <c r="AE211" t="b">
        <f t="shared" si="59"/>
        <v>1</v>
      </c>
      <c r="AG211" s="1">
        <v>2726815</v>
      </c>
      <c r="AH211" t="s">
        <v>786</v>
      </c>
      <c r="AI211">
        <v>525</v>
      </c>
      <c r="AJ211" t="s">
        <v>503</v>
      </c>
      <c r="AK211" s="2">
        <v>46223</v>
      </c>
      <c r="AL211" s="2">
        <v>46232</v>
      </c>
      <c r="AM211" s="3">
        <v>4</v>
      </c>
      <c r="AN211" t="s">
        <v>2</v>
      </c>
      <c r="AO211" s="3">
        <v>160</v>
      </c>
      <c r="AP211" t="s">
        <v>787</v>
      </c>
      <c r="AQ211" t="s">
        <v>130</v>
      </c>
      <c r="AR211" t="s">
        <v>631</v>
      </c>
      <c r="AU211" t="s">
        <v>788</v>
      </c>
    </row>
    <row r="212" spans="1:47" x14ac:dyDescent="0.25">
      <c r="A212" s="1">
        <v>2727560</v>
      </c>
      <c r="B212" t="s">
        <v>317</v>
      </c>
      <c r="C212">
        <v>540</v>
      </c>
      <c r="D212" t="s">
        <v>1</v>
      </c>
      <c r="E212" s="2">
        <v>46232</v>
      </c>
      <c r="F212" s="2">
        <v>46232</v>
      </c>
      <c r="G212" s="3">
        <v>4</v>
      </c>
      <c r="H212" t="s">
        <v>11</v>
      </c>
      <c r="I212" s="3">
        <v>8820</v>
      </c>
      <c r="J212" t="s">
        <v>318</v>
      </c>
      <c r="K212" t="s">
        <v>4</v>
      </c>
      <c r="L212" t="s">
        <v>108</v>
      </c>
      <c r="M212" t="s">
        <v>6</v>
      </c>
      <c r="N212" t="s">
        <v>319</v>
      </c>
      <c r="O212" t="s">
        <v>7</v>
      </c>
      <c r="Q212" t="b">
        <f t="shared" si="45"/>
        <v>1</v>
      </c>
      <c r="R212" t="b">
        <f t="shared" si="46"/>
        <v>1</v>
      </c>
      <c r="S212" t="b">
        <f t="shared" si="47"/>
        <v>1</v>
      </c>
      <c r="T212" t="b">
        <f t="shared" si="48"/>
        <v>1</v>
      </c>
      <c r="U212" t="b">
        <f t="shared" si="49"/>
        <v>1</v>
      </c>
      <c r="V212" t="b">
        <f t="shared" si="50"/>
        <v>1</v>
      </c>
      <c r="W212" t="b">
        <f t="shared" si="51"/>
        <v>1</v>
      </c>
      <c r="X212" t="b">
        <f t="shared" si="52"/>
        <v>1</v>
      </c>
      <c r="Y212" t="b">
        <f t="shared" si="53"/>
        <v>1</v>
      </c>
      <c r="Z212" t="b">
        <f t="shared" si="54"/>
        <v>1</v>
      </c>
      <c r="AA212" t="b">
        <f t="shared" si="55"/>
        <v>1</v>
      </c>
      <c r="AB212" t="b">
        <f t="shared" si="56"/>
        <v>1</v>
      </c>
      <c r="AC212" t="b">
        <f t="shared" si="57"/>
        <v>1</v>
      </c>
      <c r="AD212" t="b">
        <f t="shared" si="58"/>
        <v>1</v>
      </c>
      <c r="AE212" t="b">
        <f t="shared" si="59"/>
        <v>1</v>
      </c>
      <c r="AG212" s="1">
        <v>2727560</v>
      </c>
      <c r="AH212" t="s">
        <v>789</v>
      </c>
      <c r="AI212">
        <v>540</v>
      </c>
      <c r="AJ212" t="s">
        <v>503</v>
      </c>
      <c r="AK212" s="2">
        <v>46232</v>
      </c>
      <c r="AL212" s="2">
        <v>46232</v>
      </c>
      <c r="AM212" s="3">
        <v>4</v>
      </c>
      <c r="AN212" t="s">
        <v>11</v>
      </c>
      <c r="AO212" s="3">
        <v>8820</v>
      </c>
      <c r="AP212" t="s">
        <v>790</v>
      </c>
      <c r="AR212" t="s">
        <v>595</v>
      </c>
      <c r="AT212" t="s">
        <v>791</v>
      </c>
    </row>
    <row r="213" spans="1:47" x14ac:dyDescent="0.25">
      <c r="A213" s="1">
        <v>2734312</v>
      </c>
      <c r="B213" t="s">
        <v>14</v>
      </c>
      <c r="C213">
        <v>530</v>
      </c>
      <c r="D213" t="s">
        <v>15</v>
      </c>
      <c r="E213" s="2">
        <v>46232</v>
      </c>
      <c r="F213" s="2">
        <v>46232</v>
      </c>
      <c r="G213" s="3">
        <v>44000</v>
      </c>
      <c r="H213" t="s">
        <v>16</v>
      </c>
      <c r="I213" s="3">
        <v>44000</v>
      </c>
      <c r="J213" t="s">
        <v>17</v>
      </c>
      <c r="K213" t="s">
        <v>4</v>
      </c>
      <c r="L213" t="s">
        <v>5</v>
      </c>
      <c r="M213" t="s">
        <v>6</v>
      </c>
      <c r="N213" t="s">
        <v>7</v>
      </c>
      <c r="O213" t="s">
        <v>18</v>
      </c>
      <c r="Q213" t="b">
        <f t="shared" si="45"/>
        <v>1</v>
      </c>
      <c r="R213" t="b">
        <f t="shared" si="46"/>
        <v>1</v>
      </c>
      <c r="S213" t="b">
        <f t="shared" si="47"/>
        <v>1</v>
      </c>
      <c r="T213" t="b">
        <f t="shared" si="48"/>
        <v>1</v>
      </c>
      <c r="U213" t="b">
        <f t="shared" si="49"/>
        <v>1</v>
      </c>
      <c r="V213" t="b">
        <f t="shared" si="50"/>
        <v>1</v>
      </c>
      <c r="W213" t="b">
        <f t="shared" si="51"/>
        <v>1</v>
      </c>
      <c r="X213" t="b">
        <f t="shared" si="52"/>
        <v>1</v>
      </c>
      <c r="Y213" t="b">
        <f t="shared" si="53"/>
        <v>1</v>
      </c>
      <c r="Z213" t="b">
        <f t="shared" si="54"/>
        <v>1</v>
      </c>
      <c r="AA213" t="b">
        <f t="shared" si="55"/>
        <v>1</v>
      </c>
      <c r="AB213" t="b">
        <f t="shared" si="56"/>
        <v>1</v>
      </c>
      <c r="AC213" t="b">
        <f t="shared" si="57"/>
        <v>1</v>
      </c>
      <c r="AD213" t="b">
        <f t="shared" si="58"/>
        <v>1</v>
      </c>
      <c r="AE213" t="b">
        <f t="shared" si="59"/>
        <v>1</v>
      </c>
      <c r="AG213" s="1">
        <v>2734312</v>
      </c>
      <c r="AH213" t="s">
        <v>510</v>
      </c>
      <c r="AI213">
        <v>530</v>
      </c>
      <c r="AJ213" t="s">
        <v>511</v>
      </c>
      <c r="AK213" s="2">
        <v>46232</v>
      </c>
      <c r="AL213" s="2">
        <v>46232</v>
      </c>
      <c r="AM213" s="3">
        <v>44000</v>
      </c>
      <c r="AN213" t="s">
        <v>16</v>
      </c>
      <c r="AO213" s="3">
        <v>44000</v>
      </c>
      <c r="AP213" t="s">
        <v>512</v>
      </c>
      <c r="AR213" t="s">
        <v>505</v>
      </c>
      <c r="AU213" t="s">
        <v>513</v>
      </c>
    </row>
    <row r="214" spans="1:47" x14ac:dyDescent="0.25">
      <c r="A214" s="1">
        <v>2737511</v>
      </c>
      <c r="B214" t="s">
        <v>320</v>
      </c>
      <c r="C214">
        <v>540</v>
      </c>
      <c r="D214" t="s">
        <v>1</v>
      </c>
      <c r="E214" s="2">
        <v>46232</v>
      </c>
      <c r="F214" s="2">
        <v>46232</v>
      </c>
      <c r="G214" s="3">
        <v>4</v>
      </c>
      <c r="H214" t="s">
        <v>20</v>
      </c>
      <c r="I214" s="3">
        <v>1900</v>
      </c>
      <c r="J214" t="s">
        <v>321</v>
      </c>
      <c r="K214" t="s">
        <v>4</v>
      </c>
      <c r="L214" t="s">
        <v>322</v>
      </c>
      <c r="M214" t="s">
        <v>6</v>
      </c>
      <c r="N214" t="s">
        <v>7</v>
      </c>
      <c r="O214" t="s">
        <v>7</v>
      </c>
      <c r="Q214" t="b">
        <f t="shared" si="45"/>
        <v>1</v>
      </c>
      <c r="R214" t="b">
        <f t="shared" si="46"/>
        <v>1</v>
      </c>
      <c r="S214" t="b">
        <f t="shared" si="47"/>
        <v>1</v>
      </c>
      <c r="T214" t="b">
        <f t="shared" si="48"/>
        <v>1</v>
      </c>
      <c r="U214" t="b">
        <f t="shared" si="49"/>
        <v>1</v>
      </c>
      <c r="V214" t="b">
        <f t="shared" si="50"/>
        <v>1</v>
      </c>
      <c r="W214" t="b">
        <f t="shared" si="51"/>
        <v>1</v>
      </c>
      <c r="X214" t="b">
        <f t="shared" si="52"/>
        <v>1</v>
      </c>
      <c r="Y214" t="b">
        <f t="shared" si="53"/>
        <v>1</v>
      </c>
      <c r="Z214" t="b">
        <f t="shared" si="54"/>
        <v>1</v>
      </c>
      <c r="AA214" t="b">
        <f t="shared" si="55"/>
        <v>1</v>
      </c>
      <c r="AB214" t="b">
        <f t="shared" si="56"/>
        <v>1</v>
      </c>
      <c r="AC214" t="b">
        <f t="shared" si="57"/>
        <v>1</v>
      </c>
      <c r="AD214" t="b">
        <f t="shared" si="58"/>
        <v>1</v>
      </c>
      <c r="AE214" t="b">
        <f t="shared" si="59"/>
        <v>1</v>
      </c>
      <c r="AG214" s="1">
        <v>2737511</v>
      </c>
      <c r="AH214" t="s">
        <v>792</v>
      </c>
      <c r="AI214">
        <v>540</v>
      </c>
      <c r="AJ214" t="s">
        <v>503</v>
      </c>
      <c r="AK214" s="2">
        <v>46232</v>
      </c>
      <c r="AL214" s="2">
        <v>46232</v>
      </c>
      <c r="AM214" s="3">
        <v>4</v>
      </c>
      <c r="AN214" t="s">
        <v>20</v>
      </c>
      <c r="AO214" s="3">
        <v>1900</v>
      </c>
      <c r="AP214" t="s">
        <v>793</v>
      </c>
      <c r="AR214" t="s">
        <v>794</v>
      </c>
    </row>
    <row r="215" spans="1:47" x14ac:dyDescent="0.25">
      <c r="A215" s="1">
        <v>2739266</v>
      </c>
      <c r="B215" t="s">
        <v>323</v>
      </c>
      <c r="C215">
        <v>540</v>
      </c>
      <c r="D215" t="s">
        <v>1</v>
      </c>
      <c r="E215" s="2">
        <v>46232</v>
      </c>
      <c r="F215" s="2">
        <v>46232</v>
      </c>
      <c r="G215" s="3">
        <v>7</v>
      </c>
      <c r="H215" t="s">
        <v>11</v>
      </c>
      <c r="I215" s="3">
        <v>0</v>
      </c>
      <c r="J215" t="s">
        <v>324</v>
      </c>
      <c r="K215" t="s">
        <v>4</v>
      </c>
      <c r="L215" t="s">
        <v>40</v>
      </c>
      <c r="M215" t="s">
        <v>6</v>
      </c>
      <c r="N215" t="s">
        <v>325</v>
      </c>
      <c r="O215" t="s">
        <v>7</v>
      </c>
      <c r="Q215" t="b">
        <f t="shared" si="45"/>
        <v>1</v>
      </c>
      <c r="R215" t="b">
        <f t="shared" si="46"/>
        <v>1</v>
      </c>
      <c r="S215" t="b">
        <f t="shared" si="47"/>
        <v>1</v>
      </c>
      <c r="T215" t="b">
        <f t="shared" si="48"/>
        <v>1</v>
      </c>
      <c r="U215" t="b">
        <f t="shared" si="49"/>
        <v>1</v>
      </c>
      <c r="V215" t="b">
        <f t="shared" si="50"/>
        <v>1</v>
      </c>
      <c r="W215" t="b">
        <f t="shared" si="51"/>
        <v>1</v>
      </c>
      <c r="X215" t="b">
        <f t="shared" si="52"/>
        <v>1</v>
      </c>
      <c r="Y215" t="b">
        <f t="shared" si="53"/>
        <v>1</v>
      </c>
      <c r="Z215" t="b">
        <f t="shared" si="54"/>
        <v>1</v>
      </c>
      <c r="AA215" t="b">
        <f t="shared" si="55"/>
        <v>1</v>
      </c>
      <c r="AB215" t="b">
        <f t="shared" si="56"/>
        <v>1</v>
      </c>
      <c r="AC215" t="b">
        <f t="shared" si="57"/>
        <v>1</v>
      </c>
      <c r="AD215" t="b">
        <f t="shared" si="58"/>
        <v>1</v>
      </c>
      <c r="AE215" t="b">
        <f t="shared" si="59"/>
        <v>1</v>
      </c>
      <c r="AG215" s="1">
        <v>2739266</v>
      </c>
      <c r="AH215" t="s">
        <v>795</v>
      </c>
      <c r="AI215">
        <v>540</v>
      </c>
      <c r="AJ215" t="s">
        <v>503</v>
      </c>
      <c r="AK215" s="2">
        <v>46232</v>
      </c>
      <c r="AL215" s="2">
        <v>46232</v>
      </c>
      <c r="AM215" s="3">
        <v>7</v>
      </c>
      <c r="AN215" t="s">
        <v>11</v>
      </c>
      <c r="AO215" s="3">
        <v>0</v>
      </c>
      <c r="AP215" t="s">
        <v>796</v>
      </c>
      <c r="AR215" t="s">
        <v>531</v>
      </c>
      <c r="AT215" t="s">
        <v>797</v>
      </c>
    </row>
    <row r="216" spans="1:47" x14ac:dyDescent="0.25">
      <c r="A216" s="1">
        <v>2740321</v>
      </c>
      <c r="B216" t="s">
        <v>50</v>
      </c>
      <c r="C216">
        <v>540</v>
      </c>
      <c r="D216" t="s">
        <v>1</v>
      </c>
      <c r="E216" s="2">
        <v>46218</v>
      </c>
      <c r="F216" s="2">
        <v>46232</v>
      </c>
      <c r="G216" s="3">
        <v>4</v>
      </c>
      <c r="H216" t="s">
        <v>51</v>
      </c>
      <c r="I216" s="3">
        <v>3840</v>
      </c>
      <c r="J216" t="s">
        <v>52</v>
      </c>
      <c r="K216" t="s">
        <v>4</v>
      </c>
      <c r="L216" t="s">
        <v>37</v>
      </c>
      <c r="M216" t="s">
        <v>6</v>
      </c>
      <c r="N216" t="s">
        <v>7</v>
      </c>
      <c r="O216" t="s">
        <v>53</v>
      </c>
      <c r="Q216" t="b">
        <f t="shared" si="45"/>
        <v>1</v>
      </c>
      <c r="R216" t="b">
        <f t="shared" si="46"/>
        <v>1</v>
      </c>
      <c r="S216" t="b">
        <f t="shared" si="47"/>
        <v>1</v>
      </c>
      <c r="T216" t="b">
        <f t="shared" si="48"/>
        <v>1</v>
      </c>
      <c r="U216" t="b">
        <f t="shared" si="49"/>
        <v>1</v>
      </c>
      <c r="V216" t="b">
        <f t="shared" si="50"/>
        <v>1</v>
      </c>
      <c r="W216" t="b">
        <f t="shared" si="51"/>
        <v>1</v>
      </c>
      <c r="X216" t="b">
        <f t="shared" si="52"/>
        <v>1</v>
      </c>
      <c r="Y216" t="b">
        <f t="shared" si="53"/>
        <v>1</v>
      </c>
      <c r="Z216" t="b">
        <f t="shared" si="54"/>
        <v>1</v>
      </c>
      <c r="AA216" t="b">
        <f t="shared" si="55"/>
        <v>1</v>
      </c>
      <c r="AB216" t="b">
        <f t="shared" si="56"/>
        <v>1</v>
      </c>
      <c r="AC216" t="b">
        <f t="shared" si="57"/>
        <v>1</v>
      </c>
      <c r="AD216" t="b">
        <f t="shared" si="58"/>
        <v>1</v>
      </c>
      <c r="AE216" t="b">
        <f t="shared" si="59"/>
        <v>1</v>
      </c>
      <c r="AG216" s="1">
        <v>2740321</v>
      </c>
      <c r="AH216" t="s">
        <v>539</v>
      </c>
      <c r="AI216">
        <v>540</v>
      </c>
      <c r="AJ216" t="s">
        <v>503</v>
      </c>
      <c r="AK216" s="2">
        <v>46218</v>
      </c>
      <c r="AL216" s="2">
        <v>46232</v>
      </c>
      <c r="AM216" s="3">
        <v>4</v>
      </c>
      <c r="AN216" t="s">
        <v>51</v>
      </c>
      <c r="AO216" s="3">
        <v>3840</v>
      </c>
      <c r="AP216" t="s">
        <v>540</v>
      </c>
      <c r="AR216" t="s">
        <v>528</v>
      </c>
      <c r="AU216" t="s">
        <v>541</v>
      </c>
    </row>
    <row r="217" spans="1:47" x14ac:dyDescent="0.25">
      <c r="A217" s="1">
        <v>2740321</v>
      </c>
      <c r="B217" t="s">
        <v>50</v>
      </c>
      <c r="C217">
        <v>540</v>
      </c>
      <c r="D217" t="s">
        <v>1</v>
      </c>
      <c r="E217" s="2">
        <v>46218</v>
      </c>
      <c r="F217" s="2">
        <v>46232</v>
      </c>
      <c r="G217" s="3">
        <v>1</v>
      </c>
      <c r="H217" t="s">
        <v>51</v>
      </c>
      <c r="I217" s="3">
        <v>1056</v>
      </c>
      <c r="J217" t="s">
        <v>54</v>
      </c>
      <c r="K217" t="s">
        <v>4</v>
      </c>
      <c r="L217" t="s">
        <v>37</v>
      </c>
      <c r="M217" t="s">
        <v>6</v>
      </c>
      <c r="N217" t="s">
        <v>7</v>
      </c>
      <c r="O217" t="s">
        <v>53</v>
      </c>
      <c r="Q217" t="b">
        <f t="shared" si="45"/>
        <v>1</v>
      </c>
      <c r="R217" t="b">
        <f t="shared" si="46"/>
        <v>1</v>
      </c>
      <c r="S217" t="b">
        <f t="shared" si="47"/>
        <v>1</v>
      </c>
      <c r="T217" t="b">
        <f t="shared" si="48"/>
        <v>1</v>
      </c>
      <c r="U217" t="b">
        <f t="shared" si="49"/>
        <v>1</v>
      </c>
      <c r="V217" t="b">
        <f t="shared" si="50"/>
        <v>1</v>
      </c>
      <c r="W217" t="b">
        <f t="shared" si="51"/>
        <v>1</v>
      </c>
      <c r="X217" t="b">
        <f t="shared" si="52"/>
        <v>1</v>
      </c>
      <c r="Y217" t="b">
        <f t="shared" si="53"/>
        <v>1</v>
      </c>
      <c r="Z217" t="b">
        <f t="shared" si="54"/>
        <v>1</v>
      </c>
      <c r="AA217" t="b">
        <f t="shared" si="55"/>
        <v>1</v>
      </c>
      <c r="AB217" t="b">
        <f t="shared" si="56"/>
        <v>1</v>
      </c>
      <c r="AC217" t="b">
        <f t="shared" si="57"/>
        <v>1</v>
      </c>
      <c r="AD217" t="b">
        <f t="shared" si="58"/>
        <v>1</v>
      </c>
      <c r="AE217" t="b">
        <f t="shared" si="59"/>
        <v>1</v>
      </c>
      <c r="AG217" s="1">
        <v>2740321</v>
      </c>
      <c r="AH217" t="s">
        <v>539</v>
      </c>
      <c r="AI217">
        <v>540</v>
      </c>
      <c r="AJ217" t="s">
        <v>503</v>
      </c>
      <c r="AK217" s="2">
        <v>46218</v>
      </c>
      <c r="AL217" s="2">
        <v>46232</v>
      </c>
      <c r="AM217" s="3">
        <v>1</v>
      </c>
      <c r="AN217" t="s">
        <v>51</v>
      </c>
      <c r="AO217" s="3">
        <v>1056</v>
      </c>
      <c r="AP217" t="s">
        <v>542</v>
      </c>
      <c r="AR217" t="s">
        <v>528</v>
      </c>
      <c r="AU217" t="s">
        <v>541</v>
      </c>
    </row>
    <row r="218" spans="1:47" x14ac:dyDescent="0.25">
      <c r="A218" s="1">
        <v>2740337</v>
      </c>
      <c r="B218" t="s">
        <v>140</v>
      </c>
      <c r="C218">
        <v>540</v>
      </c>
      <c r="D218" t="s">
        <v>1</v>
      </c>
      <c r="E218" s="2">
        <v>46223</v>
      </c>
      <c r="F218" s="2">
        <v>46232</v>
      </c>
      <c r="G218" s="3">
        <v>5</v>
      </c>
      <c r="H218" t="s">
        <v>11</v>
      </c>
      <c r="I218" s="3">
        <v>13500</v>
      </c>
      <c r="J218" t="s">
        <v>230</v>
      </c>
      <c r="K218" t="s">
        <v>4</v>
      </c>
      <c r="L218" t="s">
        <v>37</v>
      </c>
      <c r="M218" t="s">
        <v>6</v>
      </c>
      <c r="N218" t="s">
        <v>7</v>
      </c>
      <c r="O218" t="s">
        <v>7</v>
      </c>
      <c r="Q218" t="b">
        <f t="shared" si="45"/>
        <v>1</v>
      </c>
      <c r="R218" t="b">
        <f t="shared" si="46"/>
        <v>1</v>
      </c>
      <c r="S218" t="b">
        <f t="shared" si="47"/>
        <v>1</v>
      </c>
      <c r="T218" t="b">
        <f t="shared" si="48"/>
        <v>1</v>
      </c>
      <c r="U218" t="b">
        <f t="shared" si="49"/>
        <v>1</v>
      </c>
      <c r="V218" t="b">
        <f t="shared" si="50"/>
        <v>1</v>
      </c>
      <c r="W218" t="b">
        <f t="shared" si="51"/>
        <v>1</v>
      </c>
      <c r="X218" t="b">
        <f t="shared" si="52"/>
        <v>1</v>
      </c>
      <c r="Y218" t="b">
        <f t="shared" si="53"/>
        <v>1</v>
      </c>
      <c r="Z218" t="b">
        <f t="shared" si="54"/>
        <v>1</v>
      </c>
      <c r="AA218" t="b">
        <f t="shared" si="55"/>
        <v>1</v>
      </c>
      <c r="AB218" t="b">
        <f t="shared" si="56"/>
        <v>1</v>
      </c>
      <c r="AC218" t="b">
        <f t="shared" si="57"/>
        <v>1</v>
      </c>
      <c r="AD218" t="b">
        <f t="shared" si="58"/>
        <v>1</v>
      </c>
      <c r="AE218" t="b">
        <f t="shared" si="59"/>
        <v>1</v>
      </c>
      <c r="AG218" s="1">
        <v>2740337</v>
      </c>
      <c r="AH218" t="s">
        <v>625</v>
      </c>
      <c r="AI218">
        <v>540</v>
      </c>
      <c r="AJ218" t="s">
        <v>503</v>
      </c>
      <c r="AK218" s="2">
        <v>46223</v>
      </c>
      <c r="AL218" s="2">
        <v>46232</v>
      </c>
      <c r="AM218" s="3">
        <v>5</v>
      </c>
      <c r="AN218" t="s">
        <v>11</v>
      </c>
      <c r="AO218" s="3">
        <v>13500</v>
      </c>
      <c r="AP218" t="s">
        <v>709</v>
      </c>
      <c r="AR218" t="s">
        <v>528</v>
      </c>
    </row>
    <row r="219" spans="1:47" x14ac:dyDescent="0.25">
      <c r="A219" s="1">
        <v>2740636</v>
      </c>
      <c r="B219" t="s">
        <v>326</v>
      </c>
      <c r="C219">
        <v>525</v>
      </c>
      <c r="D219" t="s">
        <v>1</v>
      </c>
      <c r="E219" s="2">
        <v>46232</v>
      </c>
      <c r="F219" s="2">
        <v>46232</v>
      </c>
      <c r="G219" s="3">
        <v>2</v>
      </c>
      <c r="H219" t="s">
        <v>2</v>
      </c>
      <c r="I219" s="3">
        <v>80</v>
      </c>
      <c r="J219" t="s">
        <v>327</v>
      </c>
      <c r="K219" t="s">
        <v>130</v>
      </c>
      <c r="L219" t="s">
        <v>48</v>
      </c>
      <c r="M219" t="s">
        <v>6</v>
      </c>
      <c r="N219" t="s">
        <v>7</v>
      </c>
      <c r="O219" t="s">
        <v>7</v>
      </c>
      <c r="Q219" t="b">
        <f t="shared" si="45"/>
        <v>1</v>
      </c>
      <c r="R219" t="b">
        <f t="shared" si="46"/>
        <v>1</v>
      </c>
      <c r="S219" t="b">
        <f t="shared" si="47"/>
        <v>1</v>
      </c>
      <c r="T219" t="b">
        <f t="shared" si="48"/>
        <v>1</v>
      </c>
      <c r="U219" t="b">
        <f t="shared" si="49"/>
        <v>1</v>
      </c>
      <c r="V219" t="b">
        <f t="shared" si="50"/>
        <v>1</v>
      </c>
      <c r="W219" t="b">
        <f t="shared" si="51"/>
        <v>1</v>
      </c>
      <c r="X219" t="b">
        <f t="shared" si="52"/>
        <v>1</v>
      </c>
      <c r="Y219" t="b">
        <f t="shared" si="53"/>
        <v>1</v>
      </c>
      <c r="Z219" t="b">
        <f t="shared" si="54"/>
        <v>1</v>
      </c>
      <c r="AA219" t="b">
        <f t="shared" si="55"/>
        <v>1</v>
      </c>
      <c r="AB219" t="b">
        <f t="shared" si="56"/>
        <v>1</v>
      </c>
      <c r="AC219" t="b">
        <f t="shared" si="57"/>
        <v>1</v>
      </c>
      <c r="AD219" t="b">
        <f t="shared" si="58"/>
        <v>1</v>
      </c>
      <c r="AE219" t="b">
        <f t="shared" si="59"/>
        <v>1</v>
      </c>
      <c r="AG219" s="1">
        <v>2740636</v>
      </c>
      <c r="AH219" t="s">
        <v>798</v>
      </c>
      <c r="AI219">
        <v>525</v>
      </c>
      <c r="AJ219" t="s">
        <v>503</v>
      </c>
      <c r="AK219" s="2">
        <v>46232</v>
      </c>
      <c r="AL219" s="2">
        <v>46232</v>
      </c>
      <c r="AM219" s="3">
        <v>2</v>
      </c>
      <c r="AN219" t="s">
        <v>2</v>
      </c>
      <c r="AO219" s="3">
        <v>80</v>
      </c>
      <c r="AP219" t="s">
        <v>799</v>
      </c>
      <c r="AQ219" t="s">
        <v>130</v>
      </c>
      <c r="AR219" t="s">
        <v>538</v>
      </c>
    </row>
    <row r="220" spans="1:47" x14ac:dyDescent="0.25">
      <c r="A220" s="1">
        <v>2742512</v>
      </c>
      <c r="B220" t="s">
        <v>328</v>
      </c>
      <c r="C220">
        <v>525</v>
      </c>
      <c r="D220" t="s">
        <v>1</v>
      </c>
      <c r="E220" s="2">
        <v>46232</v>
      </c>
      <c r="F220" s="2">
        <v>46232</v>
      </c>
      <c r="G220" s="3">
        <v>8</v>
      </c>
      <c r="H220" t="s">
        <v>20</v>
      </c>
      <c r="I220" s="3">
        <v>480</v>
      </c>
      <c r="J220" t="s">
        <v>329</v>
      </c>
      <c r="K220" t="s">
        <v>130</v>
      </c>
      <c r="L220" t="s">
        <v>37</v>
      </c>
      <c r="M220" t="s">
        <v>6</v>
      </c>
      <c r="N220" t="s">
        <v>7</v>
      </c>
      <c r="O220" t="s">
        <v>7</v>
      </c>
      <c r="Q220" t="b">
        <f t="shared" si="45"/>
        <v>1</v>
      </c>
      <c r="R220" t="b">
        <f t="shared" si="46"/>
        <v>1</v>
      </c>
      <c r="S220" t="b">
        <f t="shared" si="47"/>
        <v>1</v>
      </c>
      <c r="T220" t="b">
        <f t="shared" si="48"/>
        <v>1</v>
      </c>
      <c r="U220" t="b">
        <f t="shared" si="49"/>
        <v>1</v>
      </c>
      <c r="V220" t="b">
        <f t="shared" si="50"/>
        <v>1</v>
      </c>
      <c r="W220" t="b">
        <f t="shared" si="51"/>
        <v>1</v>
      </c>
      <c r="X220" t="b">
        <f t="shared" si="52"/>
        <v>1</v>
      </c>
      <c r="Y220" t="b">
        <f t="shared" si="53"/>
        <v>1</v>
      </c>
      <c r="Z220" t="b">
        <f t="shared" si="54"/>
        <v>1</v>
      </c>
      <c r="AA220" t="b">
        <f t="shared" si="55"/>
        <v>1</v>
      </c>
      <c r="AB220" t="b">
        <f t="shared" si="56"/>
        <v>1</v>
      </c>
      <c r="AC220" t="b">
        <f t="shared" si="57"/>
        <v>1</v>
      </c>
      <c r="AD220" t="b">
        <f t="shared" si="58"/>
        <v>1</v>
      </c>
      <c r="AE220" t="b">
        <f t="shared" si="59"/>
        <v>1</v>
      </c>
      <c r="AG220" s="1">
        <v>2742512</v>
      </c>
      <c r="AH220" t="s">
        <v>800</v>
      </c>
      <c r="AI220">
        <v>525</v>
      </c>
      <c r="AJ220" t="s">
        <v>503</v>
      </c>
      <c r="AK220" s="2">
        <v>46232</v>
      </c>
      <c r="AL220" s="2">
        <v>46232</v>
      </c>
      <c r="AM220" s="3">
        <v>8</v>
      </c>
      <c r="AN220" t="s">
        <v>20</v>
      </c>
      <c r="AO220" s="3">
        <v>480</v>
      </c>
      <c r="AP220" t="s">
        <v>801</v>
      </c>
      <c r="AQ220" t="s">
        <v>130</v>
      </c>
      <c r="AR220" t="s">
        <v>528</v>
      </c>
    </row>
    <row r="221" spans="1:47" x14ac:dyDescent="0.25">
      <c r="A221" s="1">
        <v>2742593</v>
      </c>
      <c r="B221" t="s">
        <v>330</v>
      </c>
      <c r="C221">
        <v>540</v>
      </c>
      <c r="D221" t="s">
        <v>1</v>
      </c>
      <c r="E221" s="2">
        <v>46232</v>
      </c>
      <c r="F221" s="2">
        <v>46232</v>
      </c>
      <c r="G221" s="3">
        <v>1</v>
      </c>
      <c r="H221" t="s">
        <v>11</v>
      </c>
      <c r="I221" s="3">
        <v>2100</v>
      </c>
      <c r="J221" t="s">
        <v>261</v>
      </c>
      <c r="K221" t="s">
        <v>4</v>
      </c>
      <c r="L221" t="s">
        <v>128</v>
      </c>
      <c r="M221" t="s">
        <v>6</v>
      </c>
      <c r="N221" t="s">
        <v>7</v>
      </c>
      <c r="O221" t="s">
        <v>7</v>
      </c>
      <c r="Q221" t="b">
        <f t="shared" si="45"/>
        <v>1</v>
      </c>
      <c r="R221" t="b">
        <f t="shared" si="46"/>
        <v>1</v>
      </c>
      <c r="S221" t="b">
        <f t="shared" si="47"/>
        <v>1</v>
      </c>
      <c r="T221" t="b">
        <f t="shared" si="48"/>
        <v>1</v>
      </c>
      <c r="U221" t="b">
        <f t="shared" si="49"/>
        <v>1</v>
      </c>
      <c r="V221" t="b">
        <f t="shared" si="50"/>
        <v>1</v>
      </c>
      <c r="W221" t="b">
        <f t="shared" si="51"/>
        <v>1</v>
      </c>
      <c r="X221" t="b">
        <f t="shared" si="52"/>
        <v>1</v>
      </c>
      <c r="Y221" t="b">
        <f t="shared" si="53"/>
        <v>1</v>
      </c>
      <c r="Z221" t="b">
        <f t="shared" si="54"/>
        <v>1</v>
      </c>
      <c r="AA221" t="b">
        <f t="shared" si="55"/>
        <v>1</v>
      </c>
      <c r="AB221" t="b">
        <f t="shared" si="56"/>
        <v>1</v>
      </c>
      <c r="AC221" t="b">
        <f t="shared" si="57"/>
        <v>1</v>
      </c>
      <c r="AD221" t="b">
        <f t="shared" si="58"/>
        <v>1</v>
      </c>
      <c r="AE221" t="b">
        <f t="shared" si="59"/>
        <v>1</v>
      </c>
      <c r="AG221" s="1">
        <v>2742593</v>
      </c>
      <c r="AH221" t="s">
        <v>802</v>
      </c>
      <c r="AI221">
        <v>540</v>
      </c>
      <c r="AJ221" t="s">
        <v>503</v>
      </c>
      <c r="AK221" s="2">
        <v>46232</v>
      </c>
      <c r="AL221" s="2">
        <v>46232</v>
      </c>
      <c r="AM221" s="3">
        <v>1</v>
      </c>
      <c r="AN221" t="s">
        <v>11</v>
      </c>
      <c r="AO221" s="3">
        <v>2100</v>
      </c>
      <c r="AP221" t="s">
        <v>738</v>
      </c>
      <c r="AR221" t="s">
        <v>614</v>
      </c>
    </row>
    <row r="222" spans="1:47" x14ac:dyDescent="0.25">
      <c r="A222" s="1">
        <v>2744121</v>
      </c>
      <c r="B222" t="s">
        <v>331</v>
      </c>
      <c r="C222">
        <v>530</v>
      </c>
      <c r="D222" t="s">
        <v>1</v>
      </c>
      <c r="E222" s="2">
        <v>46232</v>
      </c>
      <c r="F222" s="2">
        <v>46232</v>
      </c>
      <c r="G222" s="3">
        <v>1</v>
      </c>
      <c r="H222" t="s">
        <v>11</v>
      </c>
      <c r="I222" s="3">
        <v>0</v>
      </c>
      <c r="J222" t="s">
        <v>332</v>
      </c>
      <c r="K222" t="s">
        <v>4</v>
      </c>
      <c r="L222" t="s">
        <v>22</v>
      </c>
      <c r="M222" t="s">
        <v>6</v>
      </c>
      <c r="N222" t="s">
        <v>7</v>
      </c>
      <c r="O222" t="s">
        <v>7</v>
      </c>
      <c r="Q222" t="b">
        <f t="shared" si="45"/>
        <v>1</v>
      </c>
      <c r="R222" t="b">
        <f t="shared" si="46"/>
        <v>1</v>
      </c>
      <c r="S222" t="b">
        <f t="shared" si="47"/>
        <v>1</v>
      </c>
      <c r="T222" t="b">
        <f t="shared" si="48"/>
        <v>1</v>
      </c>
      <c r="U222" t="b">
        <f t="shared" si="49"/>
        <v>1</v>
      </c>
      <c r="V222" t="b">
        <f t="shared" si="50"/>
        <v>1</v>
      </c>
      <c r="W222" t="b">
        <f t="shared" si="51"/>
        <v>1</v>
      </c>
      <c r="X222" t="b">
        <f t="shared" si="52"/>
        <v>1</v>
      </c>
      <c r="Y222" t="b">
        <f t="shared" si="53"/>
        <v>1</v>
      </c>
      <c r="Z222" t="b">
        <f t="shared" si="54"/>
        <v>1</v>
      </c>
      <c r="AA222" t="b">
        <f t="shared" si="55"/>
        <v>1</v>
      </c>
      <c r="AB222" t="b">
        <f t="shared" si="56"/>
        <v>1</v>
      </c>
      <c r="AC222" t="b">
        <f t="shared" si="57"/>
        <v>1</v>
      </c>
      <c r="AD222" t="b">
        <f t="shared" si="58"/>
        <v>1</v>
      </c>
      <c r="AE222" t="b">
        <f t="shared" si="59"/>
        <v>1</v>
      </c>
      <c r="AG222" s="1">
        <v>2744121</v>
      </c>
      <c r="AH222" t="s">
        <v>331</v>
      </c>
      <c r="AI222">
        <v>530</v>
      </c>
      <c r="AJ222" t="s">
        <v>503</v>
      </c>
      <c r="AK222" s="2">
        <v>46232</v>
      </c>
      <c r="AL222" s="2">
        <v>46232</v>
      </c>
      <c r="AM222" s="3">
        <v>1</v>
      </c>
      <c r="AN222" t="s">
        <v>11</v>
      </c>
      <c r="AO222" s="3">
        <v>0</v>
      </c>
      <c r="AP222" t="s">
        <v>803</v>
      </c>
      <c r="AR222" t="s">
        <v>516</v>
      </c>
    </row>
    <row r="223" spans="1:47" x14ac:dyDescent="0.25">
      <c r="A223" s="1">
        <v>2744247</v>
      </c>
      <c r="B223" t="s">
        <v>333</v>
      </c>
      <c r="C223">
        <v>525</v>
      </c>
      <c r="D223" t="s">
        <v>1</v>
      </c>
      <c r="E223" s="2">
        <v>46232</v>
      </c>
      <c r="F223" s="2">
        <v>46232</v>
      </c>
      <c r="G223" s="3">
        <v>1</v>
      </c>
      <c r="H223" t="s">
        <v>20</v>
      </c>
      <c r="I223" s="3">
        <v>470</v>
      </c>
      <c r="J223" t="s">
        <v>334</v>
      </c>
      <c r="K223" t="s">
        <v>4</v>
      </c>
      <c r="L223" t="s">
        <v>30</v>
      </c>
      <c r="M223" t="s">
        <v>6</v>
      </c>
      <c r="N223" t="s">
        <v>7</v>
      </c>
      <c r="O223" t="s">
        <v>7</v>
      </c>
      <c r="Q223" t="b">
        <f t="shared" si="45"/>
        <v>1</v>
      </c>
      <c r="R223" t="b">
        <f t="shared" si="46"/>
        <v>1</v>
      </c>
      <c r="S223" t="b">
        <f t="shared" si="47"/>
        <v>1</v>
      </c>
      <c r="T223" t="b">
        <f t="shared" si="48"/>
        <v>1</v>
      </c>
      <c r="U223" t="b">
        <f t="shared" si="49"/>
        <v>1</v>
      </c>
      <c r="V223" t="b">
        <f t="shared" si="50"/>
        <v>1</v>
      </c>
      <c r="W223" t="b">
        <f t="shared" si="51"/>
        <v>1</v>
      </c>
      <c r="X223" t="b">
        <f t="shared" si="52"/>
        <v>1</v>
      </c>
      <c r="Y223" t="b">
        <f t="shared" si="53"/>
        <v>1</v>
      </c>
      <c r="Z223" t="b">
        <f t="shared" si="54"/>
        <v>1</v>
      </c>
      <c r="AA223" t="b">
        <f t="shared" si="55"/>
        <v>1</v>
      </c>
      <c r="AB223" t="b">
        <f t="shared" si="56"/>
        <v>1</v>
      </c>
      <c r="AC223" t="b">
        <f t="shared" si="57"/>
        <v>1</v>
      </c>
      <c r="AD223" t="b">
        <f t="shared" si="58"/>
        <v>1</v>
      </c>
      <c r="AE223" t="b">
        <f t="shared" si="59"/>
        <v>1</v>
      </c>
      <c r="AG223" s="1">
        <v>2744247</v>
      </c>
      <c r="AH223" t="s">
        <v>804</v>
      </c>
      <c r="AI223">
        <v>525</v>
      </c>
      <c r="AJ223" t="s">
        <v>503</v>
      </c>
      <c r="AK223" s="2">
        <v>46232</v>
      </c>
      <c r="AL223" s="2">
        <v>46232</v>
      </c>
      <c r="AM223" s="3">
        <v>1</v>
      </c>
      <c r="AN223" t="s">
        <v>20</v>
      </c>
      <c r="AO223" s="3">
        <v>470</v>
      </c>
      <c r="AP223" t="s">
        <v>805</v>
      </c>
      <c r="AR223" t="s">
        <v>521</v>
      </c>
    </row>
    <row r="224" spans="1:47" x14ac:dyDescent="0.25">
      <c r="A224" s="1">
        <v>2744344</v>
      </c>
      <c r="B224" t="s">
        <v>335</v>
      </c>
      <c r="C224">
        <v>530</v>
      </c>
      <c r="D224" t="s">
        <v>1</v>
      </c>
      <c r="E224" s="2">
        <v>46232</v>
      </c>
      <c r="F224" s="2">
        <v>46232</v>
      </c>
      <c r="G224" s="3">
        <v>15</v>
      </c>
      <c r="H224" t="s">
        <v>11</v>
      </c>
      <c r="I224" s="3">
        <v>40500</v>
      </c>
      <c r="J224" t="s">
        <v>336</v>
      </c>
      <c r="K224" t="s">
        <v>4</v>
      </c>
      <c r="L224" t="s">
        <v>126</v>
      </c>
      <c r="M224" t="s">
        <v>6</v>
      </c>
      <c r="N224" t="s">
        <v>7</v>
      </c>
      <c r="O224" t="s">
        <v>7</v>
      </c>
      <c r="Q224" t="b">
        <f t="shared" si="45"/>
        <v>1</v>
      </c>
      <c r="R224" t="b">
        <f t="shared" si="46"/>
        <v>1</v>
      </c>
      <c r="S224" t="b">
        <f t="shared" si="47"/>
        <v>1</v>
      </c>
      <c r="T224" t="b">
        <f t="shared" si="48"/>
        <v>1</v>
      </c>
      <c r="U224" t="b">
        <f t="shared" si="49"/>
        <v>1</v>
      </c>
      <c r="V224" t="b">
        <f t="shared" si="50"/>
        <v>1</v>
      </c>
      <c r="W224" t="b">
        <f t="shared" si="51"/>
        <v>1</v>
      </c>
      <c r="X224" t="b">
        <f t="shared" si="52"/>
        <v>1</v>
      </c>
      <c r="Y224" t="b">
        <f t="shared" si="53"/>
        <v>1</v>
      </c>
      <c r="Z224" t="b">
        <f t="shared" si="54"/>
        <v>1</v>
      </c>
      <c r="AA224" t="b">
        <f t="shared" si="55"/>
        <v>1</v>
      </c>
      <c r="AB224" t="b">
        <f t="shared" si="56"/>
        <v>1</v>
      </c>
      <c r="AC224" t="b">
        <f t="shared" si="57"/>
        <v>1</v>
      </c>
      <c r="AD224" t="b">
        <f t="shared" si="58"/>
        <v>1</v>
      </c>
      <c r="AE224" t="b">
        <f t="shared" si="59"/>
        <v>1</v>
      </c>
      <c r="AG224" s="1">
        <v>2744344</v>
      </c>
      <c r="AH224" t="s">
        <v>806</v>
      </c>
      <c r="AI224">
        <v>530</v>
      </c>
      <c r="AJ224" t="s">
        <v>503</v>
      </c>
      <c r="AK224" s="2">
        <v>46232</v>
      </c>
      <c r="AL224" s="2">
        <v>46232</v>
      </c>
      <c r="AM224" s="3">
        <v>15</v>
      </c>
      <c r="AN224" t="s">
        <v>11</v>
      </c>
      <c r="AO224" s="3">
        <v>40500</v>
      </c>
      <c r="AP224" t="s">
        <v>807</v>
      </c>
      <c r="AR224" t="s">
        <v>612</v>
      </c>
    </row>
    <row r="225" spans="1:47" x14ac:dyDescent="0.25">
      <c r="A225" s="1">
        <v>2662963</v>
      </c>
      <c r="B225" t="s">
        <v>163</v>
      </c>
      <c r="C225">
        <v>540</v>
      </c>
      <c r="D225" t="s">
        <v>1</v>
      </c>
      <c r="E225" s="2">
        <v>46233</v>
      </c>
      <c r="F225" s="2">
        <v>46233</v>
      </c>
      <c r="G225" s="3">
        <v>80</v>
      </c>
      <c r="H225" t="s">
        <v>20</v>
      </c>
      <c r="I225" s="3">
        <v>36000</v>
      </c>
      <c r="J225" t="s">
        <v>337</v>
      </c>
      <c r="K225" t="s">
        <v>83</v>
      </c>
      <c r="L225" t="s">
        <v>108</v>
      </c>
      <c r="M225" t="s">
        <v>6</v>
      </c>
      <c r="N225" t="s">
        <v>165</v>
      </c>
      <c r="O225" t="s">
        <v>7</v>
      </c>
      <c r="Q225" t="b">
        <f t="shared" si="45"/>
        <v>1</v>
      </c>
      <c r="R225" t="b">
        <f t="shared" si="46"/>
        <v>1</v>
      </c>
      <c r="S225" t="b">
        <f t="shared" si="47"/>
        <v>1</v>
      </c>
      <c r="T225" t="b">
        <f t="shared" si="48"/>
        <v>1</v>
      </c>
      <c r="U225" t="b">
        <f t="shared" si="49"/>
        <v>1</v>
      </c>
      <c r="V225" t="b">
        <f t="shared" si="50"/>
        <v>1</v>
      </c>
      <c r="W225" t="b">
        <f t="shared" si="51"/>
        <v>1</v>
      </c>
      <c r="X225" t="b">
        <f t="shared" si="52"/>
        <v>1</v>
      </c>
      <c r="Y225" t="b">
        <f t="shared" si="53"/>
        <v>1</v>
      </c>
      <c r="Z225" t="b">
        <f t="shared" si="54"/>
        <v>1</v>
      </c>
      <c r="AA225" t="b">
        <f t="shared" si="55"/>
        <v>1</v>
      </c>
      <c r="AB225" t="b">
        <f t="shared" si="56"/>
        <v>1</v>
      </c>
      <c r="AC225" t="b">
        <f t="shared" si="57"/>
        <v>1</v>
      </c>
      <c r="AD225" t="b">
        <f t="shared" si="58"/>
        <v>1</v>
      </c>
      <c r="AE225" t="b">
        <f t="shared" si="59"/>
        <v>1</v>
      </c>
      <c r="AG225" s="1">
        <v>2662963</v>
      </c>
      <c r="AH225" t="s">
        <v>646</v>
      </c>
      <c r="AI225">
        <v>540</v>
      </c>
      <c r="AJ225" t="s">
        <v>503</v>
      </c>
      <c r="AK225" s="2">
        <v>46233</v>
      </c>
      <c r="AL225" s="2">
        <v>46233</v>
      </c>
      <c r="AM225" s="3">
        <v>80</v>
      </c>
      <c r="AN225" t="s">
        <v>20</v>
      </c>
      <c r="AO225" s="3">
        <v>36000</v>
      </c>
      <c r="AP225" t="s">
        <v>808</v>
      </c>
      <c r="AQ225" t="s">
        <v>83</v>
      </c>
      <c r="AR225" t="s">
        <v>595</v>
      </c>
      <c r="AT225" t="s">
        <v>648</v>
      </c>
    </row>
    <row r="226" spans="1:47" x14ac:dyDescent="0.25">
      <c r="A226" s="1">
        <v>2724561</v>
      </c>
      <c r="B226" t="s">
        <v>265</v>
      </c>
      <c r="C226">
        <v>540</v>
      </c>
      <c r="D226" t="s">
        <v>1</v>
      </c>
      <c r="E226" s="2">
        <v>46233</v>
      </c>
      <c r="F226" s="2">
        <v>46233</v>
      </c>
      <c r="G226" s="3">
        <v>1</v>
      </c>
      <c r="H226" t="s">
        <v>11</v>
      </c>
      <c r="I226" s="3">
        <v>2300</v>
      </c>
      <c r="J226" t="s">
        <v>266</v>
      </c>
      <c r="K226" t="s">
        <v>4</v>
      </c>
      <c r="L226" t="s">
        <v>108</v>
      </c>
      <c r="M226" t="s">
        <v>6</v>
      </c>
      <c r="N226" t="s">
        <v>7</v>
      </c>
      <c r="O226" t="s">
        <v>7</v>
      </c>
      <c r="Q226" t="b">
        <f t="shared" si="45"/>
        <v>1</v>
      </c>
      <c r="R226" t="b">
        <f t="shared" si="46"/>
        <v>1</v>
      </c>
      <c r="S226" t="b">
        <f t="shared" si="47"/>
        <v>1</v>
      </c>
      <c r="T226" t="b">
        <f t="shared" si="48"/>
        <v>1</v>
      </c>
      <c r="U226" t="b">
        <f t="shared" si="49"/>
        <v>1</v>
      </c>
      <c r="V226" t="b">
        <f t="shared" si="50"/>
        <v>1</v>
      </c>
      <c r="W226" t="b">
        <f t="shared" si="51"/>
        <v>1</v>
      </c>
      <c r="X226" t="b">
        <f t="shared" si="52"/>
        <v>1</v>
      </c>
      <c r="Y226" t="b">
        <f t="shared" si="53"/>
        <v>1</v>
      </c>
      <c r="Z226" t="b">
        <f t="shared" si="54"/>
        <v>1</v>
      </c>
      <c r="AA226" t="b">
        <f t="shared" si="55"/>
        <v>1</v>
      </c>
      <c r="AB226" t="b">
        <f t="shared" si="56"/>
        <v>1</v>
      </c>
      <c r="AC226" t="b">
        <f t="shared" si="57"/>
        <v>1</v>
      </c>
      <c r="AD226" t="b">
        <f t="shared" si="58"/>
        <v>1</v>
      </c>
      <c r="AE226" t="b">
        <f t="shared" si="59"/>
        <v>1</v>
      </c>
      <c r="AG226" s="1">
        <v>2724561</v>
      </c>
      <c r="AH226" t="s">
        <v>742</v>
      </c>
      <c r="AI226">
        <v>540</v>
      </c>
      <c r="AJ226" t="s">
        <v>503</v>
      </c>
      <c r="AK226" s="2">
        <v>46233</v>
      </c>
      <c r="AL226" s="2">
        <v>46233</v>
      </c>
      <c r="AM226" s="3">
        <v>1</v>
      </c>
      <c r="AN226" t="s">
        <v>11</v>
      </c>
      <c r="AO226" s="3">
        <v>2300</v>
      </c>
      <c r="AP226" t="s">
        <v>743</v>
      </c>
      <c r="AR226" t="s">
        <v>595</v>
      </c>
    </row>
    <row r="227" spans="1:47" x14ac:dyDescent="0.25">
      <c r="A227" s="1">
        <v>2737366</v>
      </c>
      <c r="B227" t="s">
        <v>338</v>
      </c>
      <c r="C227">
        <v>540</v>
      </c>
      <c r="D227" t="s">
        <v>1</v>
      </c>
      <c r="E227" s="2">
        <v>46233</v>
      </c>
      <c r="F227" s="2">
        <v>46233</v>
      </c>
      <c r="G227" s="3">
        <v>4</v>
      </c>
      <c r="H227" t="s">
        <v>20</v>
      </c>
      <c r="I227" s="3">
        <v>1900</v>
      </c>
      <c r="J227" t="s">
        <v>243</v>
      </c>
      <c r="K227" t="s">
        <v>4</v>
      </c>
      <c r="L227" t="s">
        <v>30</v>
      </c>
      <c r="M227" t="s">
        <v>6</v>
      </c>
      <c r="N227" t="s">
        <v>7</v>
      </c>
      <c r="O227" t="s">
        <v>7</v>
      </c>
      <c r="Q227" t="b">
        <f t="shared" si="45"/>
        <v>1</v>
      </c>
      <c r="R227" t="b">
        <f t="shared" si="46"/>
        <v>1</v>
      </c>
      <c r="S227" t="b">
        <f t="shared" si="47"/>
        <v>1</v>
      </c>
      <c r="T227" t="b">
        <f t="shared" si="48"/>
        <v>1</v>
      </c>
      <c r="U227" t="b">
        <f t="shared" si="49"/>
        <v>1</v>
      </c>
      <c r="V227" t="b">
        <f t="shared" si="50"/>
        <v>1</v>
      </c>
      <c r="W227" t="b">
        <f t="shared" si="51"/>
        <v>1</v>
      </c>
      <c r="X227" t="b">
        <f t="shared" si="52"/>
        <v>1</v>
      </c>
      <c r="Y227" t="b">
        <f t="shared" si="53"/>
        <v>1</v>
      </c>
      <c r="Z227" t="b">
        <f t="shared" si="54"/>
        <v>1</v>
      </c>
      <c r="AA227" t="b">
        <f t="shared" si="55"/>
        <v>1</v>
      </c>
      <c r="AB227" t="b">
        <f t="shared" si="56"/>
        <v>1</v>
      </c>
      <c r="AC227" t="b">
        <f t="shared" si="57"/>
        <v>1</v>
      </c>
      <c r="AD227" t="b">
        <f t="shared" si="58"/>
        <v>1</v>
      </c>
      <c r="AE227" t="b">
        <f t="shared" si="59"/>
        <v>1</v>
      </c>
      <c r="AG227" s="1">
        <v>2737366</v>
      </c>
      <c r="AH227" t="s">
        <v>809</v>
      </c>
      <c r="AI227">
        <v>540</v>
      </c>
      <c r="AJ227" t="s">
        <v>503</v>
      </c>
      <c r="AK227" s="2">
        <v>46233</v>
      </c>
      <c r="AL227" s="2">
        <v>46233</v>
      </c>
      <c r="AM227" s="3">
        <v>4</v>
      </c>
      <c r="AN227" t="s">
        <v>20</v>
      </c>
      <c r="AO227" s="3">
        <v>1900</v>
      </c>
      <c r="AP227" t="s">
        <v>721</v>
      </c>
      <c r="AR227" t="s">
        <v>521</v>
      </c>
    </row>
    <row r="228" spans="1:47" x14ac:dyDescent="0.25">
      <c r="A228" s="1">
        <v>2744137</v>
      </c>
      <c r="B228" t="s">
        <v>339</v>
      </c>
      <c r="C228">
        <v>530</v>
      </c>
      <c r="D228" t="s">
        <v>1</v>
      </c>
      <c r="E228" s="2">
        <v>46233</v>
      </c>
      <c r="F228" s="2">
        <v>46233</v>
      </c>
      <c r="G228" s="3">
        <v>3</v>
      </c>
      <c r="H228" t="s">
        <v>20</v>
      </c>
      <c r="I228" s="3">
        <v>1275</v>
      </c>
      <c r="J228" t="s">
        <v>340</v>
      </c>
      <c r="K228" t="s">
        <v>4</v>
      </c>
      <c r="L228" t="s">
        <v>30</v>
      </c>
      <c r="M228" t="s">
        <v>6</v>
      </c>
      <c r="N228" t="s">
        <v>341</v>
      </c>
      <c r="O228" t="s">
        <v>7</v>
      </c>
      <c r="Q228" t="b">
        <f t="shared" si="45"/>
        <v>1</v>
      </c>
      <c r="R228" t="b">
        <f t="shared" si="46"/>
        <v>1</v>
      </c>
      <c r="S228" t="b">
        <f t="shared" si="47"/>
        <v>1</v>
      </c>
      <c r="T228" t="b">
        <f t="shared" si="48"/>
        <v>1</v>
      </c>
      <c r="U228" t="b">
        <f t="shared" si="49"/>
        <v>1</v>
      </c>
      <c r="V228" t="b">
        <f t="shared" si="50"/>
        <v>1</v>
      </c>
      <c r="W228" t="b">
        <f t="shared" si="51"/>
        <v>1</v>
      </c>
      <c r="X228" t="b">
        <f t="shared" si="52"/>
        <v>1</v>
      </c>
      <c r="Y228" t="b">
        <f t="shared" si="53"/>
        <v>1</v>
      </c>
      <c r="Z228" t="b">
        <f t="shared" si="54"/>
        <v>1</v>
      </c>
      <c r="AA228" t="b">
        <f t="shared" si="55"/>
        <v>1</v>
      </c>
      <c r="AB228" t="b">
        <f t="shared" si="56"/>
        <v>1</v>
      </c>
      <c r="AC228" t="b">
        <f t="shared" si="57"/>
        <v>1</v>
      </c>
      <c r="AD228" t="b">
        <f t="shared" si="58"/>
        <v>1</v>
      </c>
      <c r="AE228" t="b">
        <f t="shared" si="59"/>
        <v>1</v>
      </c>
      <c r="AG228" s="1">
        <v>2744137</v>
      </c>
      <c r="AH228" t="s">
        <v>810</v>
      </c>
      <c r="AI228">
        <v>530</v>
      </c>
      <c r="AJ228" t="s">
        <v>503</v>
      </c>
      <c r="AK228" s="2">
        <v>46233</v>
      </c>
      <c r="AL228" s="2">
        <v>46233</v>
      </c>
      <c r="AM228" s="3">
        <v>3</v>
      </c>
      <c r="AN228" t="s">
        <v>20</v>
      </c>
      <c r="AO228" s="3">
        <v>1275</v>
      </c>
      <c r="AP228" t="s">
        <v>811</v>
      </c>
      <c r="AR228" t="s">
        <v>521</v>
      </c>
      <c r="AT228" t="s">
        <v>812</v>
      </c>
    </row>
    <row r="229" spans="1:47" x14ac:dyDescent="0.25">
      <c r="A229" s="1">
        <v>2585053</v>
      </c>
      <c r="B229" t="s">
        <v>280</v>
      </c>
      <c r="C229">
        <v>525</v>
      </c>
      <c r="D229" t="s">
        <v>1</v>
      </c>
      <c r="E229" s="2">
        <v>46125</v>
      </c>
      <c r="F229" s="2">
        <v>46234</v>
      </c>
      <c r="G229" s="3">
        <v>19</v>
      </c>
      <c r="H229" t="s">
        <v>11</v>
      </c>
      <c r="I229" s="3">
        <v>41800</v>
      </c>
      <c r="J229" t="s">
        <v>342</v>
      </c>
      <c r="K229" t="s">
        <v>343</v>
      </c>
      <c r="L229" t="s">
        <v>30</v>
      </c>
      <c r="M229" t="s">
        <v>6</v>
      </c>
      <c r="N229" t="s">
        <v>281</v>
      </c>
      <c r="O229" t="s">
        <v>7</v>
      </c>
      <c r="Q229" t="b">
        <f t="shared" si="45"/>
        <v>1</v>
      </c>
      <c r="R229" t="b">
        <f t="shared" si="46"/>
        <v>1</v>
      </c>
      <c r="S229" t="b">
        <f t="shared" si="47"/>
        <v>1</v>
      </c>
      <c r="T229" t="b">
        <f t="shared" si="48"/>
        <v>1</v>
      </c>
      <c r="U229" t="b">
        <f t="shared" si="49"/>
        <v>1</v>
      </c>
      <c r="V229" t="b">
        <f t="shared" si="50"/>
        <v>1</v>
      </c>
      <c r="W229" t="b">
        <f t="shared" si="51"/>
        <v>1</v>
      </c>
      <c r="X229" t="b">
        <f t="shared" si="52"/>
        <v>1</v>
      </c>
      <c r="Y229" t="b">
        <f t="shared" si="53"/>
        <v>1</v>
      </c>
      <c r="Z229" t="b">
        <f t="shared" si="54"/>
        <v>1</v>
      </c>
      <c r="AA229" t="b">
        <f t="shared" si="55"/>
        <v>1</v>
      </c>
      <c r="AB229" t="b">
        <f t="shared" si="56"/>
        <v>1</v>
      </c>
      <c r="AC229" t="b">
        <f t="shared" si="57"/>
        <v>1</v>
      </c>
      <c r="AD229" t="b">
        <f t="shared" si="58"/>
        <v>1</v>
      </c>
      <c r="AE229" t="b">
        <f t="shared" si="59"/>
        <v>1</v>
      </c>
      <c r="AG229" s="1">
        <v>2585053</v>
      </c>
      <c r="AH229" t="s">
        <v>756</v>
      </c>
      <c r="AI229">
        <v>525</v>
      </c>
      <c r="AJ229" t="s">
        <v>503</v>
      </c>
      <c r="AK229" s="2">
        <v>46125</v>
      </c>
      <c r="AL229" s="2">
        <v>46234</v>
      </c>
      <c r="AM229" s="3">
        <v>19</v>
      </c>
      <c r="AN229" t="s">
        <v>11</v>
      </c>
      <c r="AO229" s="3">
        <v>41800</v>
      </c>
      <c r="AP229" t="s">
        <v>813</v>
      </c>
      <c r="AQ229" t="s">
        <v>343</v>
      </c>
      <c r="AR229" t="s">
        <v>521</v>
      </c>
      <c r="AT229" t="s">
        <v>757</v>
      </c>
    </row>
    <row r="230" spans="1:47" x14ac:dyDescent="0.25">
      <c r="A230" s="1">
        <v>2717133</v>
      </c>
      <c r="B230" t="s">
        <v>344</v>
      </c>
      <c r="C230">
        <v>540</v>
      </c>
      <c r="D230" t="s">
        <v>1</v>
      </c>
      <c r="E230" s="2">
        <v>46234</v>
      </c>
      <c r="F230" s="2">
        <v>46234</v>
      </c>
      <c r="G230" s="3">
        <v>12</v>
      </c>
      <c r="H230" t="s">
        <v>20</v>
      </c>
      <c r="I230" s="3">
        <v>5700</v>
      </c>
      <c r="J230" t="s">
        <v>89</v>
      </c>
      <c r="K230" t="s">
        <v>4</v>
      </c>
      <c r="L230" t="s">
        <v>37</v>
      </c>
      <c r="M230" t="s">
        <v>6</v>
      </c>
      <c r="N230" t="s">
        <v>7</v>
      </c>
      <c r="O230" t="s">
        <v>7</v>
      </c>
      <c r="Q230" t="b">
        <f t="shared" si="45"/>
        <v>1</v>
      </c>
      <c r="R230" t="b">
        <f t="shared" si="46"/>
        <v>1</v>
      </c>
      <c r="S230" t="b">
        <f t="shared" si="47"/>
        <v>1</v>
      </c>
      <c r="T230" t="b">
        <f t="shared" si="48"/>
        <v>1</v>
      </c>
      <c r="U230" t="b">
        <f t="shared" si="49"/>
        <v>1</v>
      </c>
      <c r="V230" t="b">
        <f t="shared" si="50"/>
        <v>1</v>
      </c>
      <c r="W230" t="b">
        <f t="shared" si="51"/>
        <v>1</v>
      </c>
      <c r="X230" t="b">
        <f t="shared" si="52"/>
        <v>1</v>
      </c>
      <c r="Y230" t="b">
        <f t="shared" si="53"/>
        <v>1</v>
      </c>
      <c r="Z230" t="b">
        <f t="shared" si="54"/>
        <v>1</v>
      </c>
      <c r="AA230" t="b">
        <f t="shared" si="55"/>
        <v>1</v>
      </c>
      <c r="AB230" t="b">
        <f t="shared" si="56"/>
        <v>1</v>
      </c>
      <c r="AC230" t="b">
        <f t="shared" si="57"/>
        <v>1</v>
      </c>
      <c r="AD230" t="b">
        <f t="shared" si="58"/>
        <v>1</v>
      </c>
      <c r="AE230" t="b">
        <f t="shared" si="59"/>
        <v>1</v>
      </c>
      <c r="AG230" s="1">
        <v>2717133</v>
      </c>
      <c r="AH230" t="s">
        <v>814</v>
      </c>
      <c r="AI230">
        <v>540</v>
      </c>
      <c r="AJ230" t="s">
        <v>503</v>
      </c>
      <c r="AK230" s="2">
        <v>46234</v>
      </c>
      <c r="AL230" s="2">
        <v>46234</v>
      </c>
      <c r="AM230" s="3">
        <v>12</v>
      </c>
      <c r="AN230" t="s">
        <v>20</v>
      </c>
      <c r="AO230" s="3">
        <v>5700</v>
      </c>
      <c r="AP230" t="s">
        <v>576</v>
      </c>
      <c r="AR230" t="s">
        <v>528</v>
      </c>
    </row>
    <row r="231" spans="1:47" x14ac:dyDescent="0.25">
      <c r="A231" s="1">
        <v>2724198</v>
      </c>
      <c r="B231" t="s">
        <v>99</v>
      </c>
      <c r="C231">
        <v>540</v>
      </c>
      <c r="D231" t="s">
        <v>1</v>
      </c>
      <c r="E231" s="2">
        <v>46234</v>
      </c>
      <c r="F231" s="2">
        <v>46234</v>
      </c>
      <c r="G231" s="3">
        <v>4</v>
      </c>
      <c r="H231" t="s">
        <v>20</v>
      </c>
      <c r="I231" s="3">
        <v>1800</v>
      </c>
      <c r="J231" t="s">
        <v>345</v>
      </c>
      <c r="K231" t="s">
        <v>4</v>
      </c>
      <c r="L231" t="s">
        <v>5</v>
      </c>
      <c r="M231" t="s">
        <v>6</v>
      </c>
      <c r="N231" t="s">
        <v>7</v>
      </c>
      <c r="O231" t="s">
        <v>7</v>
      </c>
      <c r="Q231" t="b">
        <f t="shared" si="45"/>
        <v>1</v>
      </c>
      <c r="R231" t="b">
        <f t="shared" si="46"/>
        <v>1</v>
      </c>
      <c r="S231" t="b">
        <f t="shared" si="47"/>
        <v>1</v>
      </c>
      <c r="T231" t="b">
        <f t="shared" si="48"/>
        <v>1</v>
      </c>
      <c r="U231" t="b">
        <f t="shared" si="49"/>
        <v>1</v>
      </c>
      <c r="V231" t="b">
        <f t="shared" si="50"/>
        <v>1</v>
      </c>
      <c r="W231" t="b">
        <f t="shared" si="51"/>
        <v>1</v>
      </c>
      <c r="X231" t="b">
        <f t="shared" si="52"/>
        <v>1</v>
      </c>
      <c r="Y231" t="b">
        <f t="shared" si="53"/>
        <v>1</v>
      </c>
      <c r="Z231" t="b">
        <f t="shared" si="54"/>
        <v>1</v>
      </c>
      <c r="AA231" t="b">
        <f t="shared" si="55"/>
        <v>1</v>
      </c>
      <c r="AB231" t="b">
        <f t="shared" si="56"/>
        <v>1</v>
      </c>
      <c r="AC231" t="b">
        <f t="shared" si="57"/>
        <v>1</v>
      </c>
      <c r="AD231" t="b">
        <f t="shared" si="58"/>
        <v>1</v>
      </c>
      <c r="AE231" t="b">
        <f t="shared" si="59"/>
        <v>1</v>
      </c>
      <c r="AG231" s="1">
        <v>2724198</v>
      </c>
      <c r="AH231" t="s">
        <v>586</v>
      </c>
      <c r="AI231">
        <v>540</v>
      </c>
      <c r="AJ231" t="s">
        <v>503</v>
      </c>
      <c r="AK231" s="2">
        <v>46234</v>
      </c>
      <c r="AL231" s="2">
        <v>46234</v>
      </c>
      <c r="AM231" s="3">
        <v>4</v>
      </c>
      <c r="AN231" t="s">
        <v>20</v>
      </c>
      <c r="AO231" s="3">
        <v>1800</v>
      </c>
      <c r="AP231" t="s">
        <v>815</v>
      </c>
      <c r="AR231" t="s">
        <v>505</v>
      </c>
    </row>
    <row r="232" spans="1:47" x14ac:dyDescent="0.25">
      <c r="A232" s="1">
        <v>2724198</v>
      </c>
      <c r="B232" t="s">
        <v>99</v>
      </c>
      <c r="C232">
        <v>540</v>
      </c>
      <c r="D232" t="s">
        <v>1</v>
      </c>
      <c r="E232" s="2">
        <v>46234</v>
      </c>
      <c r="F232" s="2">
        <v>46234</v>
      </c>
      <c r="G232" s="3">
        <v>12</v>
      </c>
      <c r="H232" t="s">
        <v>11</v>
      </c>
      <c r="I232" s="3">
        <v>26460</v>
      </c>
      <c r="J232" t="s">
        <v>346</v>
      </c>
      <c r="K232" t="s">
        <v>4</v>
      </c>
      <c r="L232" t="s">
        <v>5</v>
      </c>
      <c r="M232" t="s">
        <v>6</v>
      </c>
      <c r="N232" t="s">
        <v>7</v>
      </c>
      <c r="O232" t="s">
        <v>7</v>
      </c>
      <c r="Q232" t="b">
        <f t="shared" si="45"/>
        <v>1</v>
      </c>
      <c r="R232" t="b">
        <f t="shared" si="46"/>
        <v>1</v>
      </c>
      <c r="S232" t="b">
        <f t="shared" si="47"/>
        <v>1</v>
      </c>
      <c r="T232" t="b">
        <f t="shared" si="48"/>
        <v>1</v>
      </c>
      <c r="U232" t="b">
        <f t="shared" si="49"/>
        <v>1</v>
      </c>
      <c r="V232" t="b">
        <f t="shared" si="50"/>
        <v>1</v>
      </c>
      <c r="W232" t="b">
        <f t="shared" si="51"/>
        <v>1</v>
      </c>
      <c r="X232" t="b">
        <f t="shared" si="52"/>
        <v>1</v>
      </c>
      <c r="Y232" t="b">
        <f t="shared" si="53"/>
        <v>1</v>
      </c>
      <c r="Z232" t="b">
        <f t="shared" si="54"/>
        <v>1</v>
      </c>
      <c r="AA232" t="b">
        <f t="shared" si="55"/>
        <v>1</v>
      </c>
      <c r="AB232" t="b">
        <f t="shared" si="56"/>
        <v>1</v>
      </c>
      <c r="AC232" t="b">
        <f t="shared" si="57"/>
        <v>1</v>
      </c>
      <c r="AD232" t="b">
        <f t="shared" si="58"/>
        <v>1</v>
      </c>
      <c r="AE232" t="b">
        <f t="shared" si="59"/>
        <v>1</v>
      </c>
      <c r="AG232" s="1">
        <v>2724198</v>
      </c>
      <c r="AH232" t="s">
        <v>586</v>
      </c>
      <c r="AI232">
        <v>540</v>
      </c>
      <c r="AJ232" t="s">
        <v>503</v>
      </c>
      <c r="AK232" s="2">
        <v>46234</v>
      </c>
      <c r="AL232" s="2">
        <v>46234</v>
      </c>
      <c r="AM232" s="3">
        <v>12</v>
      </c>
      <c r="AN232" t="s">
        <v>11</v>
      </c>
      <c r="AO232" s="3">
        <v>26460</v>
      </c>
      <c r="AP232" t="s">
        <v>816</v>
      </c>
      <c r="AR232" t="s">
        <v>505</v>
      </c>
    </row>
    <row r="233" spans="1:47" x14ac:dyDescent="0.25">
      <c r="A233" s="1">
        <v>2726966</v>
      </c>
      <c r="B233" t="s">
        <v>347</v>
      </c>
      <c r="C233">
        <v>540</v>
      </c>
      <c r="D233" t="s">
        <v>1</v>
      </c>
      <c r="E233" s="2">
        <v>46234</v>
      </c>
      <c r="F233" s="2">
        <v>46234</v>
      </c>
      <c r="G233" s="3">
        <v>3</v>
      </c>
      <c r="H233" t="s">
        <v>11</v>
      </c>
      <c r="I233" s="3">
        <v>8100</v>
      </c>
      <c r="J233" t="s">
        <v>155</v>
      </c>
      <c r="K233" t="s">
        <v>4</v>
      </c>
      <c r="L233" t="s">
        <v>108</v>
      </c>
      <c r="M233" t="s">
        <v>6</v>
      </c>
      <c r="N233" t="s">
        <v>7</v>
      </c>
      <c r="O233" t="s">
        <v>7</v>
      </c>
      <c r="Q233" t="b">
        <f t="shared" si="45"/>
        <v>1</v>
      </c>
      <c r="R233" t="b">
        <f t="shared" si="46"/>
        <v>1</v>
      </c>
      <c r="S233" t="b">
        <f t="shared" si="47"/>
        <v>1</v>
      </c>
      <c r="T233" t="b">
        <f t="shared" si="48"/>
        <v>1</v>
      </c>
      <c r="U233" t="b">
        <f t="shared" si="49"/>
        <v>1</v>
      </c>
      <c r="V233" t="b">
        <f t="shared" si="50"/>
        <v>1</v>
      </c>
      <c r="W233" t="b">
        <f t="shared" si="51"/>
        <v>1</v>
      </c>
      <c r="X233" t="b">
        <f t="shared" si="52"/>
        <v>1</v>
      </c>
      <c r="Y233" t="b">
        <f t="shared" si="53"/>
        <v>1</v>
      </c>
      <c r="Z233" t="b">
        <f t="shared" si="54"/>
        <v>1</v>
      </c>
      <c r="AA233" t="b">
        <f t="shared" si="55"/>
        <v>1</v>
      </c>
      <c r="AB233" t="b">
        <f t="shared" si="56"/>
        <v>1</v>
      </c>
      <c r="AC233" t="b">
        <f t="shared" si="57"/>
        <v>1</v>
      </c>
      <c r="AD233" t="b">
        <f t="shared" si="58"/>
        <v>1</v>
      </c>
      <c r="AE233" t="b">
        <f t="shared" si="59"/>
        <v>1</v>
      </c>
      <c r="AG233" s="1">
        <v>2726966</v>
      </c>
      <c r="AH233" t="s">
        <v>817</v>
      </c>
      <c r="AI233">
        <v>540</v>
      </c>
      <c r="AJ233" t="s">
        <v>503</v>
      </c>
      <c r="AK233" s="2">
        <v>46234</v>
      </c>
      <c r="AL233" s="2">
        <v>46234</v>
      </c>
      <c r="AM233" s="3">
        <v>3</v>
      </c>
      <c r="AN233" t="s">
        <v>11</v>
      </c>
      <c r="AO233" s="3">
        <v>8100</v>
      </c>
      <c r="AP233" t="s">
        <v>638</v>
      </c>
      <c r="AR233" t="s">
        <v>595</v>
      </c>
    </row>
    <row r="234" spans="1:47" x14ac:dyDescent="0.25">
      <c r="A234" s="1">
        <v>2733767</v>
      </c>
      <c r="B234" t="s">
        <v>14</v>
      </c>
      <c r="C234">
        <v>530</v>
      </c>
      <c r="D234" t="s">
        <v>15</v>
      </c>
      <c r="E234" s="2">
        <v>46234</v>
      </c>
      <c r="F234" s="2">
        <v>46234</v>
      </c>
      <c r="G234" s="3">
        <v>44000</v>
      </c>
      <c r="H234" t="s">
        <v>16</v>
      </c>
      <c r="I234" s="3">
        <v>44000</v>
      </c>
      <c r="J234" t="s">
        <v>17</v>
      </c>
      <c r="K234" t="s">
        <v>4</v>
      </c>
      <c r="L234" t="s">
        <v>5</v>
      </c>
      <c r="M234" t="s">
        <v>6</v>
      </c>
      <c r="N234" t="s">
        <v>7</v>
      </c>
      <c r="O234" t="s">
        <v>18</v>
      </c>
      <c r="Q234" t="b">
        <f t="shared" si="45"/>
        <v>1</v>
      </c>
      <c r="R234" t="b">
        <f t="shared" si="46"/>
        <v>1</v>
      </c>
      <c r="S234" t="b">
        <f t="shared" si="47"/>
        <v>1</v>
      </c>
      <c r="T234" t="b">
        <f t="shared" si="48"/>
        <v>1</v>
      </c>
      <c r="U234" t="b">
        <f t="shared" si="49"/>
        <v>1</v>
      </c>
      <c r="V234" t="b">
        <f t="shared" si="50"/>
        <v>1</v>
      </c>
      <c r="W234" t="b">
        <f t="shared" si="51"/>
        <v>1</v>
      </c>
      <c r="X234" t="b">
        <f t="shared" si="52"/>
        <v>1</v>
      </c>
      <c r="Y234" t="b">
        <f t="shared" si="53"/>
        <v>1</v>
      </c>
      <c r="Z234" t="b">
        <f t="shared" si="54"/>
        <v>1</v>
      </c>
      <c r="AA234" t="b">
        <f t="shared" si="55"/>
        <v>1</v>
      </c>
      <c r="AB234" t="b">
        <f t="shared" si="56"/>
        <v>1</v>
      </c>
      <c r="AC234" t="b">
        <f t="shared" si="57"/>
        <v>1</v>
      </c>
      <c r="AD234" t="b">
        <f t="shared" si="58"/>
        <v>1</v>
      </c>
      <c r="AE234" t="b">
        <f t="shared" si="59"/>
        <v>1</v>
      </c>
      <c r="AG234" s="1">
        <v>2733767</v>
      </c>
      <c r="AH234" t="s">
        <v>510</v>
      </c>
      <c r="AI234">
        <v>530</v>
      </c>
      <c r="AJ234" t="s">
        <v>511</v>
      </c>
      <c r="AK234" s="2">
        <v>46234</v>
      </c>
      <c r="AL234" s="2">
        <v>46234</v>
      </c>
      <c r="AM234" s="3">
        <v>44000</v>
      </c>
      <c r="AN234" t="s">
        <v>16</v>
      </c>
      <c r="AO234" s="3">
        <v>44000</v>
      </c>
      <c r="AP234" t="s">
        <v>512</v>
      </c>
      <c r="AR234" t="s">
        <v>505</v>
      </c>
      <c r="AU234" t="s">
        <v>513</v>
      </c>
    </row>
    <row r="235" spans="1:47" x14ac:dyDescent="0.25">
      <c r="A235" s="1">
        <v>2742610</v>
      </c>
      <c r="B235" t="s">
        <v>277</v>
      </c>
      <c r="C235">
        <v>540</v>
      </c>
      <c r="D235" t="s">
        <v>1</v>
      </c>
      <c r="E235" s="2">
        <v>46234</v>
      </c>
      <c r="F235" s="2">
        <v>46234</v>
      </c>
      <c r="G235" s="3">
        <v>24</v>
      </c>
      <c r="H235" t="s">
        <v>20</v>
      </c>
      <c r="I235" s="3">
        <v>11400</v>
      </c>
      <c r="J235" t="s">
        <v>278</v>
      </c>
      <c r="K235" t="s">
        <v>4</v>
      </c>
      <c r="L235" t="s">
        <v>279</v>
      </c>
      <c r="M235" t="s">
        <v>6</v>
      </c>
      <c r="N235" t="s">
        <v>7</v>
      </c>
      <c r="O235" t="s">
        <v>7</v>
      </c>
      <c r="Q235" t="b">
        <f t="shared" si="45"/>
        <v>1</v>
      </c>
      <c r="R235" t="b">
        <f t="shared" si="46"/>
        <v>1</v>
      </c>
      <c r="S235" t="b">
        <f t="shared" si="47"/>
        <v>1</v>
      </c>
      <c r="T235" t="b">
        <f t="shared" si="48"/>
        <v>1</v>
      </c>
      <c r="U235" t="b">
        <f t="shared" si="49"/>
        <v>1</v>
      </c>
      <c r="V235" t="b">
        <f t="shared" si="50"/>
        <v>1</v>
      </c>
      <c r="W235" t="b">
        <f t="shared" si="51"/>
        <v>1</v>
      </c>
      <c r="X235" t="b">
        <f t="shared" si="52"/>
        <v>1</v>
      </c>
      <c r="Y235" t="b">
        <f t="shared" si="53"/>
        <v>1</v>
      </c>
      <c r="Z235" t="b">
        <f t="shared" si="54"/>
        <v>1</v>
      </c>
      <c r="AA235" t="b">
        <f t="shared" si="55"/>
        <v>1</v>
      </c>
      <c r="AB235" t="b">
        <f t="shared" si="56"/>
        <v>1</v>
      </c>
      <c r="AC235" t="b">
        <f t="shared" si="57"/>
        <v>1</v>
      </c>
      <c r="AD235" t="b">
        <f t="shared" si="58"/>
        <v>1</v>
      </c>
      <c r="AE235" t="b">
        <f t="shared" si="59"/>
        <v>1</v>
      </c>
      <c r="AG235" s="1">
        <v>2742610</v>
      </c>
      <c r="AH235" t="s">
        <v>753</v>
      </c>
      <c r="AI235">
        <v>540</v>
      </c>
      <c r="AJ235" t="s">
        <v>503</v>
      </c>
      <c r="AK235" s="2">
        <v>46234</v>
      </c>
      <c r="AL235" s="2">
        <v>46234</v>
      </c>
      <c r="AM235" s="3">
        <v>24</v>
      </c>
      <c r="AN235" t="s">
        <v>20</v>
      </c>
      <c r="AO235" s="3">
        <v>11400</v>
      </c>
      <c r="AP235" t="s">
        <v>754</v>
      </c>
      <c r="AR235" t="s">
        <v>755</v>
      </c>
    </row>
    <row r="236" spans="1:47" x14ac:dyDescent="0.25">
      <c r="A236" s="1">
        <v>2742709</v>
      </c>
      <c r="B236" t="s">
        <v>97</v>
      </c>
      <c r="C236">
        <v>540</v>
      </c>
      <c r="D236" t="s">
        <v>1</v>
      </c>
      <c r="E236" s="2">
        <v>46234</v>
      </c>
      <c r="F236" s="2">
        <v>46234</v>
      </c>
      <c r="G236" s="3">
        <v>32</v>
      </c>
      <c r="H236" t="s">
        <v>20</v>
      </c>
      <c r="I236" s="3">
        <v>15040</v>
      </c>
      <c r="J236" t="s">
        <v>348</v>
      </c>
      <c r="K236" t="s">
        <v>4</v>
      </c>
      <c r="L236" t="s">
        <v>108</v>
      </c>
      <c r="M236" t="s">
        <v>6</v>
      </c>
      <c r="N236" t="s">
        <v>7</v>
      </c>
      <c r="O236" t="s">
        <v>7</v>
      </c>
      <c r="Q236" t="b">
        <f t="shared" si="45"/>
        <v>1</v>
      </c>
      <c r="R236" t="b">
        <f t="shared" si="46"/>
        <v>1</v>
      </c>
      <c r="S236" t="b">
        <f t="shared" si="47"/>
        <v>1</v>
      </c>
      <c r="T236" t="b">
        <f t="shared" si="48"/>
        <v>1</v>
      </c>
      <c r="U236" t="b">
        <f t="shared" si="49"/>
        <v>1</v>
      </c>
      <c r="V236" t="b">
        <f t="shared" si="50"/>
        <v>1</v>
      </c>
      <c r="W236" t="b">
        <f t="shared" si="51"/>
        <v>1</v>
      </c>
      <c r="X236" t="b">
        <f t="shared" si="52"/>
        <v>1</v>
      </c>
      <c r="Y236" t="b">
        <f t="shared" si="53"/>
        <v>1</v>
      </c>
      <c r="Z236" t="b">
        <f t="shared" si="54"/>
        <v>1</v>
      </c>
      <c r="AA236" t="b">
        <f t="shared" si="55"/>
        <v>1</v>
      </c>
      <c r="AB236" t="b">
        <f t="shared" si="56"/>
        <v>1</v>
      </c>
      <c r="AC236" t="b">
        <f t="shared" si="57"/>
        <v>1</v>
      </c>
      <c r="AD236" t="b">
        <f t="shared" si="58"/>
        <v>1</v>
      </c>
      <c r="AE236" t="b">
        <f t="shared" si="59"/>
        <v>1</v>
      </c>
      <c r="AG236" s="1">
        <v>2742709</v>
      </c>
      <c r="AH236" t="s">
        <v>584</v>
      </c>
      <c r="AI236">
        <v>540</v>
      </c>
      <c r="AJ236" t="s">
        <v>503</v>
      </c>
      <c r="AK236" s="2">
        <v>46234</v>
      </c>
      <c r="AL236" s="2">
        <v>46234</v>
      </c>
      <c r="AM236" s="3">
        <v>32</v>
      </c>
      <c r="AN236" t="s">
        <v>20</v>
      </c>
      <c r="AO236" s="3">
        <v>15040</v>
      </c>
      <c r="AP236" t="s">
        <v>818</v>
      </c>
      <c r="AR236" t="s">
        <v>595</v>
      </c>
    </row>
    <row r="237" spans="1:47" x14ac:dyDescent="0.25">
      <c r="A237" s="1">
        <v>2742710</v>
      </c>
      <c r="B237" t="s">
        <v>97</v>
      </c>
      <c r="C237">
        <v>540</v>
      </c>
      <c r="D237" t="s">
        <v>1</v>
      </c>
      <c r="E237" s="2">
        <v>46234</v>
      </c>
      <c r="F237" s="2">
        <v>46234</v>
      </c>
      <c r="G237" s="3">
        <v>24</v>
      </c>
      <c r="H237" t="s">
        <v>20</v>
      </c>
      <c r="I237" s="3">
        <v>11280</v>
      </c>
      <c r="J237" t="s">
        <v>349</v>
      </c>
      <c r="K237" t="s">
        <v>4</v>
      </c>
      <c r="L237" t="s">
        <v>108</v>
      </c>
      <c r="M237" t="s">
        <v>6</v>
      </c>
      <c r="N237" t="s">
        <v>7</v>
      </c>
      <c r="O237" t="s">
        <v>7</v>
      </c>
      <c r="Q237" t="b">
        <f t="shared" si="45"/>
        <v>1</v>
      </c>
      <c r="R237" t="b">
        <f t="shared" si="46"/>
        <v>1</v>
      </c>
      <c r="S237" t="b">
        <f t="shared" si="47"/>
        <v>1</v>
      </c>
      <c r="T237" t="b">
        <f t="shared" si="48"/>
        <v>1</v>
      </c>
      <c r="U237" t="b">
        <f t="shared" si="49"/>
        <v>1</v>
      </c>
      <c r="V237" t="b">
        <f t="shared" si="50"/>
        <v>1</v>
      </c>
      <c r="W237" t="b">
        <f t="shared" si="51"/>
        <v>1</v>
      </c>
      <c r="X237" t="b">
        <f t="shared" si="52"/>
        <v>1</v>
      </c>
      <c r="Y237" t="b">
        <f t="shared" si="53"/>
        <v>1</v>
      </c>
      <c r="Z237" t="b">
        <f t="shared" si="54"/>
        <v>1</v>
      </c>
      <c r="AA237" t="b">
        <f t="shared" si="55"/>
        <v>1</v>
      </c>
      <c r="AB237" t="b">
        <f t="shared" si="56"/>
        <v>1</v>
      </c>
      <c r="AC237" t="b">
        <f t="shared" si="57"/>
        <v>1</v>
      </c>
      <c r="AD237" t="b">
        <f t="shared" si="58"/>
        <v>1</v>
      </c>
      <c r="AE237" t="b">
        <f t="shared" si="59"/>
        <v>1</v>
      </c>
      <c r="AG237" s="1">
        <v>2742710</v>
      </c>
      <c r="AH237" t="s">
        <v>584</v>
      </c>
      <c r="AI237">
        <v>540</v>
      </c>
      <c r="AJ237" t="s">
        <v>503</v>
      </c>
      <c r="AK237" s="2">
        <v>46234</v>
      </c>
      <c r="AL237" s="2">
        <v>46234</v>
      </c>
      <c r="AM237" s="3">
        <v>24</v>
      </c>
      <c r="AN237" t="s">
        <v>20</v>
      </c>
      <c r="AO237" s="3">
        <v>11280</v>
      </c>
      <c r="AP237" t="s">
        <v>819</v>
      </c>
      <c r="AR237" t="s">
        <v>595</v>
      </c>
    </row>
    <row r="238" spans="1:47" x14ac:dyDescent="0.25">
      <c r="A238" s="1">
        <v>2742774</v>
      </c>
      <c r="B238" t="s">
        <v>335</v>
      </c>
      <c r="C238">
        <v>530</v>
      </c>
      <c r="D238" t="s">
        <v>1</v>
      </c>
      <c r="E238" s="2">
        <v>46216</v>
      </c>
      <c r="F238" s="2">
        <v>46234</v>
      </c>
      <c r="G238" s="3">
        <v>1</v>
      </c>
      <c r="H238" t="s">
        <v>11</v>
      </c>
      <c r="I238" s="3">
        <v>2700</v>
      </c>
      <c r="J238" t="s">
        <v>350</v>
      </c>
      <c r="K238" t="s">
        <v>4</v>
      </c>
      <c r="L238" t="s">
        <v>351</v>
      </c>
      <c r="M238" t="s">
        <v>6</v>
      </c>
      <c r="N238" t="s">
        <v>7</v>
      </c>
      <c r="O238" t="s">
        <v>7</v>
      </c>
      <c r="Q238" t="b">
        <f t="shared" si="45"/>
        <v>1</v>
      </c>
      <c r="R238" t="b">
        <f t="shared" si="46"/>
        <v>1</v>
      </c>
      <c r="S238" t="b">
        <f t="shared" si="47"/>
        <v>1</v>
      </c>
      <c r="T238" t="b">
        <f t="shared" si="48"/>
        <v>1</v>
      </c>
      <c r="U238" t="b">
        <f t="shared" si="49"/>
        <v>1</v>
      </c>
      <c r="V238" t="b">
        <f t="shared" si="50"/>
        <v>1</v>
      </c>
      <c r="W238" t="b">
        <f t="shared" si="51"/>
        <v>1</v>
      </c>
      <c r="X238" t="b">
        <f t="shared" si="52"/>
        <v>1</v>
      </c>
      <c r="Y238" t="b">
        <f t="shared" si="53"/>
        <v>1</v>
      </c>
      <c r="Z238" t="b">
        <f t="shared" si="54"/>
        <v>1</v>
      </c>
      <c r="AA238" t="b">
        <f t="shared" si="55"/>
        <v>1</v>
      </c>
      <c r="AB238" t="b">
        <f t="shared" si="56"/>
        <v>1</v>
      </c>
      <c r="AC238" t="b">
        <f t="shared" si="57"/>
        <v>1</v>
      </c>
      <c r="AD238" t="b">
        <f t="shared" si="58"/>
        <v>1</v>
      </c>
      <c r="AE238" t="b">
        <f t="shared" si="59"/>
        <v>1</v>
      </c>
      <c r="AG238" s="1">
        <v>2742774</v>
      </c>
      <c r="AH238" t="s">
        <v>806</v>
      </c>
      <c r="AI238">
        <v>530</v>
      </c>
      <c r="AJ238" t="s">
        <v>503</v>
      </c>
      <c r="AK238" s="2">
        <v>46216</v>
      </c>
      <c r="AL238" s="2">
        <v>46234</v>
      </c>
      <c r="AM238" s="3">
        <v>1</v>
      </c>
      <c r="AN238" t="s">
        <v>11</v>
      </c>
      <c r="AO238" s="3">
        <v>2700</v>
      </c>
      <c r="AP238" t="s">
        <v>820</v>
      </c>
      <c r="AR238" t="s">
        <v>821</v>
      </c>
    </row>
    <row r="239" spans="1:47" x14ac:dyDescent="0.25">
      <c r="A239" s="1">
        <v>2742795</v>
      </c>
      <c r="B239" t="s">
        <v>352</v>
      </c>
      <c r="C239">
        <v>540</v>
      </c>
      <c r="D239" t="s">
        <v>1</v>
      </c>
      <c r="E239" s="2">
        <v>46234</v>
      </c>
      <c r="F239" s="2">
        <v>46234</v>
      </c>
      <c r="G239" s="3">
        <v>1</v>
      </c>
      <c r="H239" t="s">
        <v>11</v>
      </c>
      <c r="I239" s="3">
        <v>2700</v>
      </c>
      <c r="J239" t="s">
        <v>353</v>
      </c>
      <c r="K239" t="s">
        <v>4</v>
      </c>
      <c r="L239" t="s">
        <v>37</v>
      </c>
      <c r="M239" t="s">
        <v>6</v>
      </c>
      <c r="N239" t="s">
        <v>7</v>
      </c>
      <c r="O239" t="s">
        <v>7</v>
      </c>
      <c r="Q239" t="b">
        <f t="shared" si="45"/>
        <v>1</v>
      </c>
      <c r="R239" t="b">
        <f t="shared" si="46"/>
        <v>1</v>
      </c>
      <c r="S239" t="b">
        <f t="shared" si="47"/>
        <v>1</v>
      </c>
      <c r="T239" t="b">
        <f t="shared" si="48"/>
        <v>1</v>
      </c>
      <c r="U239" t="b">
        <f t="shared" si="49"/>
        <v>1</v>
      </c>
      <c r="V239" t="b">
        <f t="shared" si="50"/>
        <v>1</v>
      </c>
      <c r="W239" t="b">
        <f t="shared" si="51"/>
        <v>1</v>
      </c>
      <c r="X239" t="b">
        <f t="shared" si="52"/>
        <v>1</v>
      </c>
      <c r="Y239" t="b">
        <f t="shared" si="53"/>
        <v>1</v>
      </c>
      <c r="Z239" t="b">
        <f t="shared" si="54"/>
        <v>1</v>
      </c>
      <c r="AA239" t="b">
        <f t="shared" si="55"/>
        <v>1</v>
      </c>
      <c r="AB239" t="b">
        <f t="shared" si="56"/>
        <v>1</v>
      </c>
      <c r="AC239" t="b">
        <f t="shared" si="57"/>
        <v>1</v>
      </c>
      <c r="AD239" t="b">
        <f t="shared" si="58"/>
        <v>1</v>
      </c>
      <c r="AE239" t="b">
        <f t="shared" si="59"/>
        <v>1</v>
      </c>
      <c r="AG239" s="1">
        <v>2742795</v>
      </c>
      <c r="AH239" t="s">
        <v>822</v>
      </c>
      <c r="AI239">
        <v>540</v>
      </c>
      <c r="AJ239" t="s">
        <v>503</v>
      </c>
      <c r="AK239" s="2">
        <v>46234</v>
      </c>
      <c r="AL239" s="2">
        <v>46234</v>
      </c>
      <c r="AM239" s="3">
        <v>1</v>
      </c>
      <c r="AN239" t="s">
        <v>11</v>
      </c>
      <c r="AO239" s="3">
        <v>2700</v>
      </c>
      <c r="AP239" t="s">
        <v>823</v>
      </c>
      <c r="AR239" t="s">
        <v>528</v>
      </c>
    </row>
    <row r="240" spans="1:47" x14ac:dyDescent="0.25">
      <c r="A240" s="1">
        <v>2743549</v>
      </c>
      <c r="B240" t="s">
        <v>14</v>
      </c>
      <c r="C240">
        <v>530</v>
      </c>
      <c r="D240" t="s">
        <v>15</v>
      </c>
      <c r="E240" s="2">
        <v>46234</v>
      </c>
      <c r="F240" s="2">
        <v>46234</v>
      </c>
      <c r="G240" s="3">
        <v>44000</v>
      </c>
      <c r="H240" t="s">
        <v>16</v>
      </c>
      <c r="I240" s="3">
        <v>44000</v>
      </c>
      <c r="J240" t="s">
        <v>17</v>
      </c>
      <c r="K240" t="s">
        <v>4</v>
      </c>
      <c r="L240" t="s">
        <v>5</v>
      </c>
      <c r="M240" t="s">
        <v>6</v>
      </c>
      <c r="N240" t="s">
        <v>7</v>
      </c>
      <c r="O240" t="s">
        <v>18</v>
      </c>
      <c r="Q240" t="b">
        <f t="shared" si="45"/>
        <v>1</v>
      </c>
      <c r="R240" t="b">
        <f t="shared" si="46"/>
        <v>1</v>
      </c>
      <c r="S240" t="b">
        <f t="shared" si="47"/>
        <v>1</v>
      </c>
      <c r="T240" t="b">
        <f t="shared" si="48"/>
        <v>1</v>
      </c>
      <c r="U240" t="b">
        <f t="shared" si="49"/>
        <v>1</v>
      </c>
      <c r="V240" t="b">
        <f t="shared" si="50"/>
        <v>1</v>
      </c>
      <c r="W240" t="b">
        <f t="shared" si="51"/>
        <v>1</v>
      </c>
      <c r="X240" t="b">
        <f t="shared" si="52"/>
        <v>1</v>
      </c>
      <c r="Y240" t="b">
        <f t="shared" si="53"/>
        <v>1</v>
      </c>
      <c r="Z240" t="b">
        <f t="shared" si="54"/>
        <v>1</v>
      </c>
      <c r="AA240" t="b">
        <f t="shared" si="55"/>
        <v>1</v>
      </c>
      <c r="AB240" t="b">
        <f t="shared" si="56"/>
        <v>1</v>
      </c>
      <c r="AC240" t="b">
        <f t="shared" si="57"/>
        <v>1</v>
      </c>
      <c r="AD240" t="b">
        <f t="shared" si="58"/>
        <v>1</v>
      </c>
      <c r="AE240" t="b">
        <f t="shared" si="59"/>
        <v>1</v>
      </c>
      <c r="AG240" s="1">
        <v>2743549</v>
      </c>
      <c r="AH240" t="s">
        <v>510</v>
      </c>
      <c r="AI240">
        <v>530</v>
      </c>
      <c r="AJ240" t="s">
        <v>511</v>
      </c>
      <c r="AK240" s="2">
        <v>46234</v>
      </c>
      <c r="AL240" s="2">
        <v>46234</v>
      </c>
      <c r="AM240" s="3">
        <v>44000</v>
      </c>
      <c r="AN240" t="s">
        <v>16</v>
      </c>
      <c r="AO240" s="3">
        <v>44000</v>
      </c>
      <c r="AP240" t="s">
        <v>512</v>
      </c>
      <c r="AR240" t="s">
        <v>505</v>
      </c>
      <c r="AU240" t="s">
        <v>513</v>
      </c>
    </row>
    <row r="241" spans="1:47" x14ac:dyDescent="0.25">
      <c r="A241" s="1">
        <v>2743551</v>
      </c>
      <c r="B241" t="s">
        <v>354</v>
      </c>
      <c r="C241">
        <v>525</v>
      </c>
      <c r="D241" t="s">
        <v>1</v>
      </c>
      <c r="E241" s="2">
        <v>46234</v>
      </c>
      <c r="F241" s="2">
        <v>46234</v>
      </c>
      <c r="G241" s="3">
        <v>2</v>
      </c>
      <c r="H241" t="s">
        <v>20</v>
      </c>
      <c r="I241" s="3">
        <v>900</v>
      </c>
      <c r="J241" t="s">
        <v>355</v>
      </c>
      <c r="K241" t="s">
        <v>4</v>
      </c>
      <c r="L241" t="s">
        <v>37</v>
      </c>
      <c r="M241" t="s">
        <v>6</v>
      </c>
      <c r="N241" t="s">
        <v>7</v>
      </c>
      <c r="O241" t="s">
        <v>7</v>
      </c>
      <c r="Q241" t="b">
        <f t="shared" si="45"/>
        <v>1</v>
      </c>
      <c r="R241" t="b">
        <f t="shared" si="46"/>
        <v>1</v>
      </c>
      <c r="S241" t="b">
        <f t="shared" si="47"/>
        <v>1</v>
      </c>
      <c r="T241" t="b">
        <f t="shared" si="48"/>
        <v>1</v>
      </c>
      <c r="U241" t="b">
        <f t="shared" si="49"/>
        <v>1</v>
      </c>
      <c r="V241" t="b">
        <f t="shared" si="50"/>
        <v>1</v>
      </c>
      <c r="W241" t="b">
        <f t="shared" si="51"/>
        <v>1</v>
      </c>
      <c r="X241" t="b">
        <f t="shared" si="52"/>
        <v>1</v>
      </c>
      <c r="Y241" t="b">
        <f t="shared" si="53"/>
        <v>1</v>
      </c>
      <c r="Z241" t="b">
        <f t="shared" si="54"/>
        <v>1</v>
      </c>
      <c r="AA241" t="b">
        <f t="shared" si="55"/>
        <v>1</v>
      </c>
      <c r="AB241" t="b">
        <f t="shared" si="56"/>
        <v>1</v>
      </c>
      <c r="AC241" t="b">
        <f t="shared" si="57"/>
        <v>1</v>
      </c>
      <c r="AD241" t="b">
        <f t="shared" si="58"/>
        <v>1</v>
      </c>
      <c r="AE241" t="b">
        <f t="shared" si="59"/>
        <v>1</v>
      </c>
      <c r="AG241" s="1">
        <v>2743551</v>
      </c>
      <c r="AH241" t="s">
        <v>824</v>
      </c>
      <c r="AI241">
        <v>525</v>
      </c>
      <c r="AJ241" t="s">
        <v>503</v>
      </c>
      <c r="AK241" s="2">
        <v>46234</v>
      </c>
      <c r="AL241" s="2">
        <v>46234</v>
      </c>
      <c r="AM241" s="3">
        <v>2</v>
      </c>
      <c r="AN241" t="s">
        <v>20</v>
      </c>
      <c r="AO241" s="3">
        <v>900</v>
      </c>
      <c r="AP241" t="s">
        <v>825</v>
      </c>
      <c r="AR241" t="s">
        <v>528</v>
      </c>
    </row>
    <row r="242" spans="1:47" x14ac:dyDescent="0.25">
      <c r="A242" s="1">
        <v>2642448</v>
      </c>
      <c r="B242" t="s">
        <v>331</v>
      </c>
      <c r="C242">
        <v>540</v>
      </c>
      <c r="D242" t="s">
        <v>1</v>
      </c>
      <c r="E242" s="2">
        <v>46237</v>
      </c>
      <c r="F242" s="2">
        <v>46237</v>
      </c>
      <c r="G242" s="3">
        <v>18</v>
      </c>
      <c r="H242" t="s">
        <v>11</v>
      </c>
      <c r="I242" s="3">
        <v>0</v>
      </c>
      <c r="J242" t="s">
        <v>356</v>
      </c>
      <c r="K242" t="s">
        <v>83</v>
      </c>
      <c r="L242" t="s">
        <v>22</v>
      </c>
      <c r="M242" t="s">
        <v>23</v>
      </c>
      <c r="N242" t="s">
        <v>7</v>
      </c>
      <c r="O242" t="s">
        <v>7</v>
      </c>
      <c r="Q242" t="b">
        <f t="shared" si="45"/>
        <v>1</v>
      </c>
      <c r="R242" t="b">
        <f t="shared" si="46"/>
        <v>1</v>
      </c>
      <c r="S242" t="b">
        <f t="shared" si="47"/>
        <v>1</v>
      </c>
      <c r="T242" t="b">
        <f t="shared" si="48"/>
        <v>1</v>
      </c>
      <c r="U242" t="b">
        <f t="shared" si="49"/>
        <v>1</v>
      </c>
      <c r="V242" t="b">
        <f t="shared" si="50"/>
        <v>1</v>
      </c>
      <c r="W242" t="b">
        <f t="shared" si="51"/>
        <v>1</v>
      </c>
      <c r="X242" t="b">
        <f t="shared" si="52"/>
        <v>1</v>
      </c>
      <c r="Y242" t="b">
        <f t="shared" si="53"/>
        <v>1</v>
      </c>
      <c r="Z242" t="b">
        <f t="shared" si="54"/>
        <v>1</v>
      </c>
      <c r="AA242" t="b">
        <f t="shared" si="55"/>
        <v>1</v>
      </c>
      <c r="AB242" t="b">
        <f t="shared" si="56"/>
        <v>1</v>
      </c>
      <c r="AC242" t="b">
        <f t="shared" si="57"/>
        <v>1</v>
      </c>
      <c r="AD242" t="b">
        <f t="shared" si="58"/>
        <v>1</v>
      </c>
      <c r="AE242" t="b">
        <f t="shared" si="59"/>
        <v>1</v>
      </c>
      <c r="AG242" s="1">
        <v>2642448</v>
      </c>
      <c r="AH242" t="s">
        <v>331</v>
      </c>
      <c r="AI242">
        <v>540</v>
      </c>
      <c r="AJ242" t="s">
        <v>503</v>
      </c>
      <c r="AK242" s="2">
        <v>46237</v>
      </c>
      <c r="AL242" s="2">
        <v>46237</v>
      </c>
      <c r="AM242" s="3">
        <v>18</v>
      </c>
      <c r="AN242" t="s">
        <v>11</v>
      </c>
      <c r="AO242" s="3">
        <v>0</v>
      </c>
      <c r="AP242" t="s">
        <v>826</v>
      </c>
      <c r="AQ242" t="s">
        <v>83</v>
      </c>
      <c r="AR242" t="s">
        <v>516</v>
      </c>
      <c r="AS242" t="s">
        <v>23</v>
      </c>
    </row>
    <row r="243" spans="1:47" x14ac:dyDescent="0.25">
      <c r="A243" s="1">
        <v>2668919</v>
      </c>
      <c r="B243" t="s">
        <v>287</v>
      </c>
      <c r="C243">
        <v>540</v>
      </c>
      <c r="D243" t="s">
        <v>1</v>
      </c>
      <c r="E243" s="2">
        <v>46237</v>
      </c>
      <c r="F243" s="2">
        <v>46237</v>
      </c>
      <c r="G243" s="3">
        <v>2</v>
      </c>
      <c r="H243" t="s">
        <v>11</v>
      </c>
      <c r="I243" s="3">
        <v>5400</v>
      </c>
      <c r="J243" t="s">
        <v>230</v>
      </c>
      <c r="K243" t="s">
        <v>4</v>
      </c>
      <c r="L243" t="s">
        <v>30</v>
      </c>
      <c r="M243" t="s">
        <v>6</v>
      </c>
      <c r="N243" t="s">
        <v>231</v>
      </c>
      <c r="O243" t="s">
        <v>7</v>
      </c>
      <c r="Q243" t="b">
        <f t="shared" si="45"/>
        <v>1</v>
      </c>
      <c r="R243" t="b">
        <f t="shared" si="46"/>
        <v>1</v>
      </c>
      <c r="S243" t="b">
        <f t="shared" si="47"/>
        <v>1</v>
      </c>
      <c r="T243" t="b">
        <f t="shared" si="48"/>
        <v>1</v>
      </c>
      <c r="U243" t="b">
        <f t="shared" si="49"/>
        <v>1</v>
      </c>
      <c r="V243" t="b">
        <f t="shared" si="50"/>
        <v>1</v>
      </c>
      <c r="W243" t="b">
        <f t="shared" si="51"/>
        <v>1</v>
      </c>
      <c r="X243" t="b">
        <f t="shared" si="52"/>
        <v>1</v>
      </c>
      <c r="Y243" t="b">
        <f t="shared" si="53"/>
        <v>1</v>
      </c>
      <c r="Z243" t="b">
        <f t="shared" si="54"/>
        <v>1</v>
      </c>
      <c r="AA243" t="b">
        <f t="shared" si="55"/>
        <v>1</v>
      </c>
      <c r="AB243" t="b">
        <f t="shared" si="56"/>
        <v>1</v>
      </c>
      <c r="AC243" t="b">
        <f t="shared" si="57"/>
        <v>1</v>
      </c>
      <c r="AD243" t="b">
        <f t="shared" si="58"/>
        <v>1</v>
      </c>
      <c r="AE243" t="b">
        <f t="shared" si="59"/>
        <v>1</v>
      </c>
      <c r="AG243" s="1">
        <v>2668919</v>
      </c>
      <c r="AH243" t="s">
        <v>763</v>
      </c>
      <c r="AI243">
        <v>540</v>
      </c>
      <c r="AJ243" t="s">
        <v>503</v>
      </c>
      <c r="AK243" s="2">
        <v>46237</v>
      </c>
      <c r="AL243" s="2">
        <v>46237</v>
      </c>
      <c r="AM243" s="3">
        <v>2</v>
      </c>
      <c r="AN243" t="s">
        <v>11</v>
      </c>
      <c r="AO243" s="3">
        <v>5400</v>
      </c>
      <c r="AP243" t="s">
        <v>709</v>
      </c>
      <c r="AR243" t="s">
        <v>521</v>
      </c>
      <c r="AT243" t="s">
        <v>710</v>
      </c>
    </row>
    <row r="244" spans="1:47" x14ac:dyDescent="0.25">
      <c r="A244" s="1">
        <v>2675105</v>
      </c>
      <c r="B244" t="s">
        <v>99</v>
      </c>
      <c r="C244">
        <v>540</v>
      </c>
      <c r="D244" t="s">
        <v>1</v>
      </c>
      <c r="E244" s="2">
        <v>46237</v>
      </c>
      <c r="F244" s="2">
        <v>46237</v>
      </c>
      <c r="G244" s="3">
        <v>16</v>
      </c>
      <c r="H244" t="s">
        <v>20</v>
      </c>
      <c r="I244" s="3">
        <v>7200</v>
      </c>
      <c r="J244" t="s">
        <v>357</v>
      </c>
      <c r="K244" t="s">
        <v>4</v>
      </c>
      <c r="L244" t="s">
        <v>358</v>
      </c>
      <c r="M244" t="s">
        <v>6</v>
      </c>
      <c r="N244" t="s">
        <v>7</v>
      </c>
      <c r="O244" t="s">
        <v>7</v>
      </c>
      <c r="Q244" t="b">
        <f t="shared" si="45"/>
        <v>1</v>
      </c>
      <c r="R244" t="b">
        <f t="shared" si="46"/>
        <v>1</v>
      </c>
      <c r="S244" t="b">
        <f t="shared" si="47"/>
        <v>1</v>
      </c>
      <c r="T244" t="b">
        <f t="shared" si="48"/>
        <v>1</v>
      </c>
      <c r="U244" t="b">
        <f t="shared" si="49"/>
        <v>1</v>
      </c>
      <c r="V244" t="b">
        <f t="shared" si="50"/>
        <v>1</v>
      </c>
      <c r="W244" t="b">
        <f t="shared" si="51"/>
        <v>1</v>
      </c>
      <c r="X244" t="b">
        <f t="shared" si="52"/>
        <v>1</v>
      </c>
      <c r="Y244" t="b">
        <f t="shared" si="53"/>
        <v>1</v>
      </c>
      <c r="Z244" t="b">
        <f t="shared" si="54"/>
        <v>1</v>
      </c>
      <c r="AA244" t="b">
        <f t="shared" si="55"/>
        <v>1</v>
      </c>
      <c r="AB244" t="b">
        <f t="shared" si="56"/>
        <v>1</v>
      </c>
      <c r="AC244" t="b">
        <f t="shared" si="57"/>
        <v>1</v>
      </c>
      <c r="AD244" t="b">
        <f t="shared" si="58"/>
        <v>1</v>
      </c>
      <c r="AE244" t="b">
        <f t="shared" si="59"/>
        <v>1</v>
      </c>
      <c r="AG244" s="1">
        <v>2675105</v>
      </c>
      <c r="AH244" t="s">
        <v>586</v>
      </c>
      <c r="AI244">
        <v>540</v>
      </c>
      <c r="AJ244" t="s">
        <v>503</v>
      </c>
      <c r="AK244" s="2">
        <v>46237</v>
      </c>
      <c r="AL244" s="2">
        <v>46237</v>
      </c>
      <c r="AM244" s="3">
        <v>16</v>
      </c>
      <c r="AN244" t="s">
        <v>20</v>
      </c>
      <c r="AO244" s="3">
        <v>7200</v>
      </c>
      <c r="AP244" t="s">
        <v>827</v>
      </c>
      <c r="AR244" t="s">
        <v>828</v>
      </c>
    </row>
    <row r="245" spans="1:47" x14ac:dyDescent="0.25">
      <c r="A245" s="1">
        <v>2700516</v>
      </c>
      <c r="B245" t="s">
        <v>359</v>
      </c>
      <c r="C245">
        <v>540</v>
      </c>
      <c r="D245" t="s">
        <v>1</v>
      </c>
      <c r="E245" s="2">
        <v>46237</v>
      </c>
      <c r="F245" s="2">
        <v>46237</v>
      </c>
      <c r="G245" s="3">
        <v>1</v>
      </c>
      <c r="H245" t="s">
        <v>20</v>
      </c>
      <c r="I245" s="3">
        <v>440</v>
      </c>
      <c r="J245" t="s">
        <v>360</v>
      </c>
      <c r="K245" t="s">
        <v>4</v>
      </c>
      <c r="L245" t="s">
        <v>40</v>
      </c>
      <c r="M245" t="s">
        <v>6</v>
      </c>
      <c r="N245" t="s">
        <v>7</v>
      </c>
      <c r="O245" t="s">
        <v>7</v>
      </c>
      <c r="Q245" t="b">
        <f t="shared" si="45"/>
        <v>1</v>
      </c>
      <c r="R245" t="b">
        <f t="shared" si="46"/>
        <v>1</v>
      </c>
      <c r="S245" t="b">
        <f t="shared" si="47"/>
        <v>1</v>
      </c>
      <c r="T245" t="b">
        <f t="shared" si="48"/>
        <v>1</v>
      </c>
      <c r="U245" t="b">
        <f t="shared" si="49"/>
        <v>1</v>
      </c>
      <c r="V245" t="b">
        <f t="shared" si="50"/>
        <v>1</v>
      </c>
      <c r="W245" t="b">
        <f t="shared" si="51"/>
        <v>1</v>
      </c>
      <c r="X245" t="b">
        <f t="shared" si="52"/>
        <v>1</v>
      </c>
      <c r="Y245" t="b">
        <f t="shared" si="53"/>
        <v>1</v>
      </c>
      <c r="Z245" t="b">
        <f t="shared" si="54"/>
        <v>1</v>
      </c>
      <c r="AA245" t="b">
        <f t="shared" si="55"/>
        <v>1</v>
      </c>
      <c r="AB245" t="b">
        <f t="shared" si="56"/>
        <v>1</v>
      </c>
      <c r="AC245" t="b">
        <f t="shared" si="57"/>
        <v>1</v>
      </c>
      <c r="AD245" t="b">
        <f t="shared" si="58"/>
        <v>1</v>
      </c>
      <c r="AE245" t="b">
        <f t="shared" si="59"/>
        <v>1</v>
      </c>
      <c r="AG245" s="1">
        <v>2700516</v>
      </c>
      <c r="AH245" t="s">
        <v>829</v>
      </c>
      <c r="AI245">
        <v>540</v>
      </c>
      <c r="AJ245" t="s">
        <v>503</v>
      </c>
      <c r="AK245" s="2">
        <v>46237</v>
      </c>
      <c r="AL245" s="2">
        <v>46237</v>
      </c>
      <c r="AM245" s="3">
        <v>1</v>
      </c>
      <c r="AN245" t="s">
        <v>20</v>
      </c>
      <c r="AO245" s="3">
        <v>440</v>
      </c>
      <c r="AP245" t="s">
        <v>830</v>
      </c>
      <c r="AR245" t="s">
        <v>531</v>
      </c>
    </row>
    <row r="246" spans="1:47" x14ac:dyDescent="0.25">
      <c r="A246" s="1">
        <v>2728481</v>
      </c>
      <c r="B246" t="s">
        <v>361</v>
      </c>
      <c r="C246">
        <v>525</v>
      </c>
      <c r="D246" t="s">
        <v>1</v>
      </c>
      <c r="E246" s="2">
        <v>46198</v>
      </c>
      <c r="F246" s="2">
        <v>46237</v>
      </c>
      <c r="G246" s="3">
        <v>16</v>
      </c>
      <c r="H246" t="s">
        <v>20</v>
      </c>
      <c r="I246" s="3">
        <v>7520</v>
      </c>
      <c r="J246" t="s">
        <v>362</v>
      </c>
      <c r="K246" t="s">
        <v>130</v>
      </c>
      <c r="L246" t="s">
        <v>37</v>
      </c>
      <c r="M246" t="s">
        <v>6</v>
      </c>
      <c r="N246" t="s">
        <v>7</v>
      </c>
      <c r="O246" t="s">
        <v>118</v>
      </c>
      <c r="Q246" t="b">
        <f t="shared" si="45"/>
        <v>1</v>
      </c>
      <c r="R246" t="b">
        <f t="shared" si="46"/>
        <v>1</v>
      </c>
      <c r="S246" t="b">
        <f t="shared" si="47"/>
        <v>1</v>
      </c>
      <c r="T246" t="b">
        <f t="shared" si="48"/>
        <v>1</v>
      </c>
      <c r="U246" t="b">
        <f t="shared" si="49"/>
        <v>1</v>
      </c>
      <c r="V246" t="b">
        <f t="shared" si="50"/>
        <v>1</v>
      </c>
      <c r="W246" t="b">
        <f t="shared" si="51"/>
        <v>1</v>
      </c>
      <c r="X246" t="b">
        <f t="shared" si="52"/>
        <v>1</v>
      </c>
      <c r="Y246" t="b">
        <f t="shared" si="53"/>
        <v>1</v>
      </c>
      <c r="Z246" t="b">
        <f t="shared" si="54"/>
        <v>1</v>
      </c>
      <c r="AA246" t="b">
        <f t="shared" si="55"/>
        <v>1</v>
      </c>
      <c r="AB246" t="b">
        <f t="shared" si="56"/>
        <v>1</v>
      </c>
      <c r="AC246" t="b">
        <f t="shared" si="57"/>
        <v>1</v>
      </c>
      <c r="AD246" t="b">
        <f t="shared" si="58"/>
        <v>1</v>
      </c>
      <c r="AE246" t="b">
        <f t="shared" si="59"/>
        <v>1</v>
      </c>
      <c r="AG246" s="1">
        <v>2728481</v>
      </c>
      <c r="AH246" t="s">
        <v>831</v>
      </c>
      <c r="AI246">
        <v>525</v>
      </c>
      <c r="AJ246" t="s">
        <v>503</v>
      </c>
      <c r="AK246" s="2">
        <v>46198</v>
      </c>
      <c r="AL246" s="2">
        <v>46237</v>
      </c>
      <c r="AM246" s="3">
        <v>16</v>
      </c>
      <c r="AN246" t="s">
        <v>20</v>
      </c>
      <c r="AO246" s="3">
        <v>7520</v>
      </c>
      <c r="AP246" t="s">
        <v>832</v>
      </c>
      <c r="AQ246" t="s">
        <v>130</v>
      </c>
      <c r="AR246" t="s">
        <v>528</v>
      </c>
      <c r="AU246" t="s">
        <v>604</v>
      </c>
    </row>
    <row r="247" spans="1:47" x14ac:dyDescent="0.25">
      <c r="A247" s="1">
        <v>2732119</v>
      </c>
      <c r="B247" t="s">
        <v>304</v>
      </c>
      <c r="C247">
        <v>540</v>
      </c>
      <c r="D247" t="s">
        <v>1</v>
      </c>
      <c r="E247" s="2">
        <v>46237</v>
      </c>
      <c r="F247" s="2">
        <v>46237</v>
      </c>
      <c r="G247" s="3">
        <v>16</v>
      </c>
      <c r="H247" t="s">
        <v>20</v>
      </c>
      <c r="I247" s="3">
        <v>6800</v>
      </c>
      <c r="J247" t="s">
        <v>363</v>
      </c>
      <c r="K247" t="s">
        <v>4</v>
      </c>
      <c r="L247" t="s">
        <v>306</v>
      </c>
      <c r="M247" t="s">
        <v>6</v>
      </c>
      <c r="N247" t="s">
        <v>7</v>
      </c>
      <c r="O247" t="s">
        <v>7</v>
      </c>
      <c r="Q247" t="b">
        <f t="shared" si="45"/>
        <v>1</v>
      </c>
      <c r="R247" t="b">
        <f t="shared" si="46"/>
        <v>1</v>
      </c>
      <c r="S247" t="b">
        <f t="shared" si="47"/>
        <v>1</v>
      </c>
      <c r="T247" t="b">
        <f t="shared" si="48"/>
        <v>1</v>
      </c>
      <c r="U247" t="b">
        <f t="shared" si="49"/>
        <v>1</v>
      </c>
      <c r="V247" t="b">
        <f t="shared" si="50"/>
        <v>1</v>
      </c>
      <c r="W247" t="b">
        <f t="shared" si="51"/>
        <v>1</v>
      </c>
      <c r="X247" t="b">
        <f t="shared" si="52"/>
        <v>1</v>
      </c>
      <c r="Y247" t="b">
        <f t="shared" si="53"/>
        <v>1</v>
      </c>
      <c r="Z247" t="b">
        <f t="shared" si="54"/>
        <v>1</v>
      </c>
      <c r="AA247" t="b">
        <f t="shared" si="55"/>
        <v>1</v>
      </c>
      <c r="AB247" t="b">
        <f t="shared" si="56"/>
        <v>1</v>
      </c>
      <c r="AC247" t="b">
        <f t="shared" si="57"/>
        <v>1</v>
      </c>
      <c r="AD247" t="b">
        <f t="shared" si="58"/>
        <v>1</v>
      </c>
      <c r="AE247" t="b">
        <f t="shared" si="59"/>
        <v>1</v>
      </c>
      <c r="AG247" s="1">
        <v>2732119</v>
      </c>
      <c r="AH247" t="s">
        <v>776</v>
      </c>
      <c r="AI247">
        <v>540</v>
      </c>
      <c r="AJ247" t="s">
        <v>503</v>
      </c>
      <c r="AK247" s="2">
        <v>46237</v>
      </c>
      <c r="AL247" s="2">
        <v>46237</v>
      </c>
      <c r="AM247" s="3">
        <v>16</v>
      </c>
      <c r="AN247" t="s">
        <v>20</v>
      </c>
      <c r="AO247" s="3">
        <v>6800</v>
      </c>
      <c r="AP247" t="s">
        <v>833</v>
      </c>
      <c r="AR247" t="s">
        <v>778</v>
      </c>
    </row>
    <row r="248" spans="1:47" x14ac:dyDescent="0.25">
      <c r="A248" s="1">
        <v>2734392</v>
      </c>
      <c r="B248" t="s">
        <v>99</v>
      </c>
      <c r="C248">
        <v>540</v>
      </c>
      <c r="D248" t="s">
        <v>1</v>
      </c>
      <c r="E248" s="2">
        <v>46237</v>
      </c>
      <c r="F248" s="2">
        <v>46237</v>
      </c>
      <c r="G248" s="3">
        <v>1</v>
      </c>
      <c r="H248" t="s">
        <v>2</v>
      </c>
      <c r="I248" s="3">
        <v>40</v>
      </c>
      <c r="J248" t="s">
        <v>327</v>
      </c>
      <c r="K248" t="s">
        <v>4</v>
      </c>
      <c r="L248" t="s">
        <v>108</v>
      </c>
      <c r="M248" t="s">
        <v>6</v>
      </c>
      <c r="N248" t="s">
        <v>364</v>
      </c>
      <c r="O248" t="s">
        <v>7</v>
      </c>
      <c r="Q248" t="b">
        <f t="shared" si="45"/>
        <v>1</v>
      </c>
      <c r="R248" t="b">
        <f t="shared" si="46"/>
        <v>1</v>
      </c>
      <c r="S248" t="b">
        <f t="shared" si="47"/>
        <v>1</v>
      </c>
      <c r="T248" t="b">
        <f t="shared" si="48"/>
        <v>1</v>
      </c>
      <c r="U248" t="b">
        <f t="shared" si="49"/>
        <v>1</v>
      </c>
      <c r="V248" t="b">
        <f t="shared" si="50"/>
        <v>1</v>
      </c>
      <c r="W248" t="b">
        <f t="shared" si="51"/>
        <v>1</v>
      </c>
      <c r="X248" t="b">
        <f t="shared" si="52"/>
        <v>1</v>
      </c>
      <c r="Y248" t="b">
        <f t="shared" si="53"/>
        <v>1</v>
      </c>
      <c r="Z248" t="b">
        <f t="shared" si="54"/>
        <v>1</v>
      </c>
      <c r="AA248" t="b">
        <f t="shared" si="55"/>
        <v>1</v>
      </c>
      <c r="AB248" t="b">
        <f t="shared" si="56"/>
        <v>1</v>
      </c>
      <c r="AC248" t="b">
        <f t="shared" si="57"/>
        <v>1</v>
      </c>
      <c r="AD248" t="b">
        <f t="shared" si="58"/>
        <v>1</v>
      </c>
      <c r="AE248" t="b">
        <f t="shared" si="59"/>
        <v>1</v>
      </c>
      <c r="AG248" s="1">
        <v>2734392</v>
      </c>
      <c r="AH248" t="s">
        <v>586</v>
      </c>
      <c r="AI248">
        <v>540</v>
      </c>
      <c r="AJ248" t="s">
        <v>503</v>
      </c>
      <c r="AK248" s="2">
        <v>46237</v>
      </c>
      <c r="AL248" s="2">
        <v>46237</v>
      </c>
      <c r="AM248" s="3">
        <v>1</v>
      </c>
      <c r="AN248" t="s">
        <v>2</v>
      </c>
      <c r="AO248" s="3">
        <v>40</v>
      </c>
      <c r="AP248" t="s">
        <v>799</v>
      </c>
      <c r="AR248" t="s">
        <v>595</v>
      </c>
      <c r="AT248" t="s">
        <v>834</v>
      </c>
    </row>
    <row r="249" spans="1:47" x14ac:dyDescent="0.25">
      <c r="A249" s="1">
        <v>2734580</v>
      </c>
      <c r="B249" t="s">
        <v>57</v>
      </c>
      <c r="C249">
        <v>540</v>
      </c>
      <c r="D249" t="s">
        <v>1</v>
      </c>
      <c r="E249" s="2">
        <v>46237</v>
      </c>
      <c r="F249" s="2">
        <v>46237</v>
      </c>
      <c r="G249" s="3">
        <v>1</v>
      </c>
      <c r="H249" t="s">
        <v>149</v>
      </c>
      <c r="I249" s="3">
        <v>1</v>
      </c>
      <c r="J249" t="s">
        <v>365</v>
      </c>
      <c r="K249" t="s">
        <v>4</v>
      </c>
      <c r="L249" t="s">
        <v>59</v>
      </c>
      <c r="M249" t="s">
        <v>6</v>
      </c>
      <c r="N249" t="s">
        <v>60</v>
      </c>
      <c r="O249" t="s">
        <v>7</v>
      </c>
      <c r="Q249" t="b">
        <f t="shared" si="45"/>
        <v>1</v>
      </c>
      <c r="R249" t="b">
        <f t="shared" si="46"/>
        <v>1</v>
      </c>
      <c r="S249" t="b">
        <f t="shared" si="47"/>
        <v>1</v>
      </c>
      <c r="T249" t="b">
        <f t="shared" si="48"/>
        <v>1</v>
      </c>
      <c r="U249" t="b">
        <f t="shared" si="49"/>
        <v>1</v>
      </c>
      <c r="V249" t="b">
        <f t="shared" si="50"/>
        <v>1</v>
      </c>
      <c r="W249" t="b">
        <f t="shared" si="51"/>
        <v>1</v>
      </c>
      <c r="X249" t="b">
        <f t="shared" si="52"/>
        <v>1</v>
      </c>
      <c r="Y249" t="b">
        <f t="shared" si="53"/>
        <v>1</v>
      </c>
      <c r="Z249" t="b">
        <f t="shared" si="54"/>
        <v>1</v>
      </c>
      <c r="AA249" t="b">
        <f t="shared" si="55"/>
        <v>1</v>
      </c>
      <c r="AB249" t="b">
        <f t="shared" si="56"/>
        <v>1</v>
      </c>
      <c r="AC249" t="b">
        <f t="shared" si="57"/>
        <v>1</v>
      </c>
      <c r="AD249" t="b">
        <f t="shared" si="58"/>
        <v>1</v>
      </c>
      <c r="AE249" t="b">
        <f t="shared" si="59"/>
        <v>1</v>
      </c>
      <c r="AG249" s="1">
        <v>2734580</v>
      </c>
      <c r="AH249" t="s">
        <v>545</v>
      </c>
      <c r="AI249">
        <v>540</v>
      </c>
      <c r="AJ249" t="s">
        <v>503</v>
      </c>
      <c r="AK249" s="2">
        <v>46237</v>
      </c>
      <c r="AL249" s="2">
        <v>46237</v>
      </c>
      <c r="AM249" s="3">
        <v>1</v>
      </c>
      <c r="AN249" t="s">
        <v>149</v>
      </c>
      <c r="AO249" s="3">
        <v>1</v>
      </c>
      <c r="AP249" t="s">
        <v>835</v>
      </c>
      <c r="AR249" t="s">
        <v>547</v>
      </c>
      <c r="AT249" t="s">
        <v>548</v>
      </c>
    </row>
    <row r="250" spans="1:47" x14ac:dyDescent="0.25">
      <c r="A250" s="1">
        <v>2734580</v>
      </c>
      <c r="B250" t="s">
        <v>57</v>
      </c>
      <c r="C250">
        <v>540</v>
      </c>
      <c r="D250" t="s">
        <v>1</v>
      </c>
      <c r="E250" s="2">
        <v>46237</v>
      </c>
      <c r="F250" s="2">
        <v>46237</v>
      </c>
      <c r="G250" s="3">
        <v>16</v>
      </c>
      <c r="H250" t="s">
        <v>20</v>
      </c>
      <c r="I250" s="3">
        <v>7200</v>
      </c>
      <c r="J250" t="s">
        <v>366</v>
      </c>
      <c r="K250" t="s">
        <v>4</v>
      </c>
      <c r="L250" t="s">
        <v>59</v>
      </c>
      <c r="M250" t="s">
        <v>6</v>
      </c>
      <c r="N250" t="s">
        <v>60</v>
      </c>
      <c r="O250" t="s">
        <v>7</v>
      </c>
      <c r="Q250" t="b">
        <f t="shared" si="45"/>
        <v>1</v>
      </c>
      <c r="R250" t="b">
        <f t="shared" si="46"/>
        <v>1</v>
      </c>
      <c r="S250" t="b">
        <f t="shared" si="47"/>
        <v>1</v>
      </c>
      <c r="T250" t="b">
        <f t="shared" si="48"/>
        <v>1</v>
      </c>
      <c r="U250" t="b">
        <f t="shared" si="49"/>
        <v>1</v>
      </c>
      <c r="V250" t="b">
        <f t="shared" si="50"/>
        <v>1</v>
      </c>
      <c r="W250" t="b">
        <f t="shared" si="51"/>
        <v>1</v>
      </c>
      <c r="X250" t="b">
        <f t="shared" si="52"/>
        <v>1</v>
      </c>
      <c r="Y250" t="b">
        <f t="shared" si="53"/>
        <v>1</v>
      </c>
      <c r="Z250" t="b">
        <f t="shared" si="54"/>
        <v>1</v>
      </c>
      <c r="AA250" t="b">
        <f t="shared" si="55"/>
        <v>1</v>
      </c>
      <c r="AB250" t="b">
        <f t="shared" si="56"/>
        <v>1</v>
      </c>
      <c r="AC250" t="b">
        <f t="shared" si="57"/>
        <v>1</v>
      </c>
      <c r="AD250" t="b">
        <f t="shared" si="58"/>
        <v>1</v>
      </c>
      <c r="AE250" t="b">
        <f t="shared" si="59"/>
        <v>1</v>
      </c>
      <c r="AG250" s="1">
        <v>2734580</v>
      </c>
      <c r="AH250" t="s">
        <v>545</v>
      </c>
      <c r="AI250">
        <v>540</v>
      </c>
      <c r="AJ250" t="s">
        <v>503</v>
      </c>
      <c r="AK250" s="2">
        <v>46237</v>
      </c>
      <c r="AL250" s="2">
        <v>46237</v>
      </c>
      <c r="AM250" s="3">
        <v>16</v>
      </c>
      <c r="AN250" t="s">
        <v>20</v>
      </c>
      <c r="AO250" s="3">
        <v>7200</v>
      </c>
      <c r="AP250" t="s">
        <v>836</v>
      </c>
      <c r="AR250" t="s">
        <v>547</v>
      </c>
      <c r="AT250" t="s">
        <v>548</v>
      </c>
    </row>
    <row r="251" spans="1:47" x14ac:dyDescent="0.25">
      <c r="A251" s="1">
        <v>2734580</v>
      </c>
      <c r="B251" t="s">
        <v>57</v>
      </c>
      <c r="C251">
        <v>540</v>
      </c>
      <c r="D251" t="s">
        <v>1</v>
      </c>
      <c r="E251" s="2">
        <v>46237</v>
      </c>
      <c r="F251" s="2">
        <v>46237</v>
      </c>
      <c r="G251" s="3">
        <v>4</v>
      </c>
      <c r="H251" t="s">
        <v>20</v>
      </c>
      <c r="I251" s="3">
        <v>1800</v>
      </c>
      <c r="J251" t="s">
        <v>367</v>
      </c>
      <c r="K251" t="s">
        <v>4</v>
      </c>
      <c r="L251" t="s">
        <v>59</v>
      </c>
      <c r="M251" t="s">
        <v>6</v>
      </c>
      <c r="N251" t="s">
        <v>60</v>
      </c>
      <c r="O251" t="s">
        <v>7</v>
      </c>
      <c r="Q251" t="b">
        <f t="shared" si="45"/>
        <v>1</v>
      </c>
      <c r="R251" t="b">
        <f t="shared" si="46"/>
        <v>1</v>
      </c>
      <c r="S251" t="b">
        <f t="shared" si="47"/>
        <v>1</v>
      </c>
      <c r="T251" t="b">
        <f t="shared" si="48"/>
        <v>1</v>
      </c>
      <c r="U251" t="b">
        <f t="shared" si="49"/>
        <v>1</v>
      </c>
      <c r="V251" t="b">
        <f t="shared" si="50"/>
        <v>1</v>
      </c>
      <c r="W251" t="b">
        <f t="shared" si="51"/>
        <v>1</v>
      </c>
      <c r="X251" t="b">
        <f t="shared" si="52"/>
        <v>1</v>
      </c>
      <c r="Y251" t="b">
        <f t="shared" si="53"/>
        <v>1</v>
      </c>
      <c r="Z251" t="b">
        <f t="shared" si="54"/>
        <v>1</v>
      </c>
      <c r="AA251" t="b">
        <f t="shared" si="55"/>
        <v>1</v>
      </c>
      <c r="AB251" t="b">
        <f t="shared" si="56"/>
        <v>1</v>
      </c>
      <c r="AC251" t="b">
        <f t="shared" si="57"/>
        <v>1</v>
      </c>
      <c r="AD251" t="b">
        <f t="shared" si="58"/>
        <v>1</v>
      </c>
      <c r="AE251" t="b">
        <f t="shared" si="59"/>
        <v>1</v>
      </c>
      <c r="AG251" s="1">
        <v>2734580</v>
      </c>
      <c r="AH251" t="s">
        <v>545</v>
      </c>
      <c r="AI251">
        <v>540</v>
      </c>
      <c r="AJ251" t="s">
        <v>503</v>
      </c>
      <c r="AK251" s="2">
        <v>46237</v>
      </c>
      <c r="AL251" s="2">
        <v>46237</v>
      </c>
      <c r="AM251" s="3">
        <v>4</v>
      </c>
      <c r="AN251" t="s">
        <v>20</v>
      </c>
      <c r="AO251" s="3">
        <v>1800</v>
      </c>
      <c r="AP251" t="s">
        <v>837</v>
      </c>
      <c r="AR251" t="s">
        <v>547</v>
      </c>
      <c r="AT251" t="s">
        <v>548</v>
      </c>
    </row>
    <row r="252" spans="1:47" x14ac:dyDescent="0.25">
      <c r="A252" s="1">
        <v>2738245</v>
      </c>
      <c r="B252" t="s">
        <v>99</v>
      </c>
      <c r="C252">
        <v>540</v>
      </c>
      <c r="D252" t="s">
        <v>1</v>
      </c>
      <c r="E252" s="2">
        <v>46237</v>
      </c>
      <c r="F252" s="2">
        <v>46237</v>
      </c>
      <c r="G252" s="3">
        <v>10</v>
      </c>
      <c r="H252" t="s">
        <v>11</v>
      </c>
      <c r="I252" s="3">
        <v>22000</v>
      </c>
      <c r="J252" t="s">
        <v>101</v>
      </c>
      <c r="K252" t="s">
        <v>4</v>
      </c>
      <c r="L252" t="s">
        <v>108</v>
      </c>
      <c r="M252" t="s">
        <v>6</v>
      </c>
      <c r="N252" t="s">
        <v>7</v>
      </c>
      <c r="O252" t="s">
        <v>7</v>
      </c>
      <c r="Q252" t="b">
        <f t="shared" si="45"/>
        <v>1</v>
      </c>
      <c r="R252" t="b">
        <f t="shared" si="46"/>
        <v>1</v>
      </c>
      <c r="S252" t="b">
        <f t="shared" si="47"/>
        <v>1</v>
      </c>
      <c r="T252" t="b">
        <f t="shared" si="48"/>
        <v>1</v>
      </c>
      <c r="U252" t="b">
        <f t="shared" si="49"/>
        <v>1</v>
      </c>
      <c r="V252" t="b">
        <f t="shared" si="50"/>
        <v>1</v>
      </c>
      <c r="W252" t="b">
        <f t="shared" si="51"/>
        <v>1</v>
      </c>
      <c r="X252" t="b">
        <f t="shared" si="52"/>
        <v>1</v>
      </c>
      <c r="Y252" t="b">
        <f t="shared" si="53"/>
        <v>1</v>
      </c>
      <c r="Z252" t="b">
        <f t="shared" si="54"/>
        <v>1</v>
      </c>
      <c r="AA252" t="b">
        <f t="shared" si="55"/>
        <v>1</v>
      </c>
      <c r="AB252" t="b">
        <f t="shared" si="56"/>
        <v>1</v>
      </c>
      <c r="AC252" t="b">
        <f t="shared" si="57"/>
        <v>1</v>
      </c>
      <c r="AD252" t="b">
        <f t="shared" si="58"/>
        <v>1</v>
      </c>
      <c r="AE252" t="b">
        <f t="shared" si="59"/>
        <v>1</v>
      </c>
      <c r="AG252" s="1">
        <v>2738245</v>
      </c>
      <c r="AH252" t="s">
        <v>586</v>
      </c>
      <c r="AI252">
        <v>540</v>
      </c>
      <c r="AJ252" t="s">
        <v>503</v>
      </c>
      <c r="AK252" s="2">
        <v>46237</v>
      </c>
      <c r="AL252" s="2">
        <v>46237</v>
      </c>
      <c r="AM252" s="3">
        <v>10</v>
      </c>
      <c r="AN252" t="s">
        <v>11</v>
      </c>
      <c r="AO252" s="3">
        <v>22000</v>
      </c>
      <c r="AP252" t="s">
        <v>588</v>
      </c>
      <c r="AR252" t="s">
        <v>595</v>
      </c>
    </row>
    <row r="253" spans="1:47" x14ac:dyDescent="0.25">
      <c r="A253" s="1">
        <v>2740461</v>
      </c>
      <c r="B253" t="s">
        <v>368</v>
      </c>
      <c r="C253">
        <v>540</v>
      </c>
      <c r="D253" t="s">
        <v>1</v>
      </c>
      <c r="E253" s="2">
        <v>46237</v>
      </c>
      <c r="F253" s="2">
        <v>46237</v>
      </c>
      <c r="G253" s="3">
        <v>2</v>
      </c>
      <c r="H253" t="s">
        <v>11</v>
      </c>
      <c r="I253" s="3">
        <v>5200</v>
      </c>
      <c r="J253" t="s">
        <v>217</v>
      </c>
      <c r="K253" t="s">
        <v>4</v>
      </c>
      <c r="L253" t="s">
        <v>108</v>
      </c>
      <c r="M253" t="s">
        <v>6</v>
      </c>
      <c r="N253" t="s">
        <v>7</v>
      </c>
      <c r="O253" t="s">
        <v>7</v>
      </c>
      <c r="Q253" t="b">
        <f t="shared" si="45"/>
        <v>1</v>
      </c>
      <c r="R253" t="b">
        <f t="shared" si="46"/>
        <v>1</v>
      </c>
      <c r="S253" t="b">
        <f t="shared" si="47"/>
        <v>1</v>
      </c>
      <c r="T253" t="b">
        <f t="shared" si="48"/>
        <v>1</v>
      </c>
      <c r="U253" t="b">
        <f t="shared" si="49"/>
        <v>1</v>
      </c>
      <c r="V253" t="b">
        <f t="shared" si="50"/>
        <v>1</v>
      </c>
      <c r="W253" t="b">
        <f t="shared" si="51"/>
        <v>1</v>
      </c>
      <c r="X253" t="b">
        <f t="shared" si="52"/>
        <v>1</v>
      </c>
      <c r="Y253" t="b">
        <f t="shared" si="53"/>
        <v>1</v>
      </c>
      <c r="Z253" t="b">
        <f t="shared" si="54"/>
        <v>1</v>
      </c>
      <c r="AA253" t="b">
        <f t="shared" si="55"/>
        <v>1</v>
      </c>
      <c r="AB253" t="b">
        <f t="shared" si="56"/>
        <v>1</v>
      </c>
      <c r="AC253" t="b">
        <f t="shared" si="57"/>
        <v>1</v>
      </c>
      <c r="AD253" t="b">
        <f t="shared" si="58"/>
        <v>1</v>
      </c>
      <c r="AE253" t="b">
        <f t="shared" si="59"/>
        <v>1</v>
      </c>
      <c r="AG253" s="1">
        <v>2740461</v>
      </c>
      <c r="AH253" t="s">
        <v>838</v>
      </c>
      <c r="AI253">
        <v>540</v>
      </c>
      <c r="AJ253" t="s">
        <v>503</v>
      </c>
      <c r="AK253" s="2">
        <v>46237</v>
      </c>
      <c r="AL253" s="2">
        <v>46237</v>
      </c>
      <c r="AM253" s="3">
        <v>2</v>
      </c>
      <c r="AN253" t="s">
        <v>11</v>
      </c>
      <c r="AO253" s="3">
        <v>5200</v>
      </c>
      <c r="AP253" t="s">
        <v>697</v>
      </c>
      <c r="AR253" t="s">
        <v>595</v>
      </c>
    </row>
    <row r="254" spans="1:47" x14ac:dyDescent="0.25">
      <c r="A254" s="1">
        <v>2742792</v>
      </c>
      <c r="B254" t="s">
        <v>91</v>
      </c>
      <c r="C254">
        <v>540</v>
      </c>
      <c r="D254" t="s">
        <v>1</v>
      </c>
      <c r="E254" s="2">
        <v>46237</v>
      </c>
      <c r="F254" s="2">
        <v>46237</v>
      </c>
      <c r="G254" s="3">
        <v>1</v>
      </c>
      <c r="H254" t="s">
        <v>11</v>
      </c>
      <c r="I254" s="3">
        <v>2500</v>
      </c>
      <c r="J254" t="s">
        <v>369</v>
      </c>
      <c r="K254" t="s">
        <v>4</v>
      </c>
      <c r="L254" t="s">
        <v>30</v>
      </c>
      <c r="M254" t="s">
        <v>6</v>
      </c>
      <c r="N254" t="s">
        <v>7</v>
      </c>
      <c r="O254" t="s">
        <v>7</v>
      </c>
      <c r="Q254" t="b">
        <f t="shared" si="45"/>
        <v>1</v>
      </c>
      <c r="R254" t="b">
        <f t="shared" si="46"/>
        <v>1</v>
      </c>
      <c r="S254" t="b">
        <f t="shared" si="47"/>
        <v>1</v>
      </c>
      <c r="T254" t="b">
        <f t="shared" si="48"/>
        <v>1</v>
      </c>
      <c r="U254" t="b">
        <f t="shared" si="49"/>
        <v>1</v>
      </c>
      <c r="V254" t="b">
        <f t="shared" si="50"/>
        <v>1</v>
      </c>
      <c r="W254" t="b">
        <f t="shared" si="51"/>
        <v>1</v>
      </c>
      <c r="X254" t="b">
        <f t="shared" si="52"/>
        <v>1</v>
      </c>
      <c r="Y254" t="b">
        <f t="shared" si="53"/>
        <v>1</v>
      </c>
      <c r="Z254" t="b">
        <f t="shared" si="54"/>
        <v>1</v>
      </c>
      <c r="AA254" t="b">
        <f t="shared" si="55"/>
        <v>1</v>
      </c>
      <c r="AB254" t="b">
        <f t="shared" si="56"/>
        <v>1</v>
      </c>
      <c r="AC254" t="b">
        <f t="shared" si="57"/>
        <v>1</v>
      </c>
      <c r="AD254" t="b">
        <f t="shared" si="58"/>
        <v>1</v>
      </c>
      <c r="AE254" t="b">
        <f t="shared" si="59"/>
        <v>1</v>
      </c>
      <c r="AG254" s="1">
        <v>2742792</v>
      </c>
      <c r="AH254" t="s">
        <v>578</v>
      </c>
      <c r="AI254">
        <v>540</v>
      </c>
      <c r="AJ254" t="s">
        <v>503</v>
      </c>
      <c r="AK254" s="2">
        <v>46237</v>
      </c>
      <c r="AL254" s="2">
        <v>46237</v>
      </c>
      <c r="AM254" s="3">
        <v>1</v>
      </c>
      <c r="AN254" t="s">
        <v>11</v>
      </c>
      <c r="AO254" s="3">
        <v>2500</v>
      </c>
      <c r="AP254" t="s">
        <v>839</v>
      </c>
      <c r="AR254" t="s">
        <v>521</v>
      </c>
    </row>
    <row r="255" spans="1:47" x14ac:dyDescent="0.25">
      <c r="A255" s="1">
        <v>2642449</v>
      </c>
      <c r="B255" t="s">
        <v>331</v>
      </c>
      <c r="C255">
        <v>540</v>
      </c>
      <c r="D255" t="s">
        <v>1</v>
      </c>
      <c r="E255" s="2">
        <v>46238</v>
      </c>
      <c r="F255" s="2">
        <v>46238</v>
      </c>
      <c r="G255" s="3">
        <v>18</v>
      </c>
      <c r="H255" t="s">
        <v>11</v>
      </c>
      <c r="I255" s="3">
        <v>0</v>
      </c>
      <c r="J255" t="s">
        <v>356</v>
      </c>
      <c r="K255" t="s">
        <v>83</v>
      </c>
      <c r="L255" t="s">
        <v>22</v>
      </c>
      <c r="M255" t="s">
        <v>23</v>
      </c>
      <c r="N255" t="s">
        <v>7</v>
      </c>
      <c r="O255" t="s">
        <v>7</v>
      </c>
      <c r="Q255" t="b">
        <f t="shared" si="45"/>
        <v>1</v>
      </c>
      <c r="R255" t="b">
        <f t="shared" si="46"/>
        <v>1</v>
      </c>
      <c r="S255" t="b">
        <f t="shared" si="47"/>
        <v>1</v>
      </c>
      <c r="T255" t="b">
        <f t="shared" si="48"/>
        <v>1</v>
      </c>
      <c r="U255" t="b">
        <f t="shared" si="49"/>
        <v>1</v>
      </c>
      <c r="V255" t="b">
        <f t="shared" si="50"/>
        <v>1</v>
      </c>
      <c r="W255" t="b">
        <f t="shared" si="51"/>
        <v>1</v>
      </c>
      <c r="X255" t="b">
        <f t="shared" si="52"/>
        <v>1</v>
      </c>
      <c r="Y255" t="b">
        <f t="shared" si="53"/>
        <v>1</v>
      </c>
      <c r="Z255" t="b">
        <f t="shared" si="54"/>
        <v>1</v>
      </c>
      <c r="AA255" t="b">
        <f t="shared" si="55"/>
        <v>1</v>
      </c>
      <c r="AB255" t="b">
        <f t="shared" si="56"/>
        <v>1</v>
      </c>
      <c r="AC255" t="b">
        <f t="shared" si="57"/>
        <v>1</v>
      </c>
      <c r="AD255" t="b">
        <f t="shared" si="58"/>
        <v>1</v>
      </c>
      <c r="AE255" t="b">
        <f t="shared" si="59"/>
        <v>1</v>
      </c>
      <c r="AG255" s="1">
        <v>2642449</v>
      </c>
      <c r="AH255" t="s">
        <v>331</v>
      </c>
      <c r="AI255">
        <v>540</v>
      </c>
      <c r="AJ255" t="s">
        <v>503</v>
      </c>
      <c r="AK255" s="2">
        <v>46238</v>
      </c>
      <c r="AL255" s="2">
        <v>46238</v>
      </c>
      <c r="AM255" s="3">
        <v>18</v>
      </c>
      <c r="AN255" t="s">
        <v>11</v>
      </c>
      <c r="AO255" s="3">
        <v>0</v>
      </c>
      <c r="AP255" t="s">
        <v>826</v>
      </c>
      <c r="AQ255" t="s">
        <v>83</v>
      </c>
      <c r="AR255" t="s">
        <v>516</v>
      </c>
      <c r="AS255" t="s">
        <v>23</v>
      </c>
    </row>
    <row r="256" spans="1:47" x14ac:dyDescent="0.25">
      <c r="A256" s="1">
        <v>2684266</v>
      </c>
      <c r="B256" t="s">
        <v>370</v>
      </c>
      <c r="C256">
        <v>540</v>
      </c>
      <c r="D256" t="s">
        <v>1</v>
      </c>
      <c r="E256" s="2">
        <v>46239</v>
      </c>
      <c r="F256" s="2">
        <v>46238</v>
      </c>
      <c r="G256" s="3">
        <v>48</v>
      </c>
      <c r="H256" t="s">
        <v>20</v>
      </c>
      <c r="I256" s="3">
        <v>20400</v>
      </c>
      <c r="J256" t="s">
        <v>371</v>
      </c>
      <c r="K256" t="s">
        <v>4</v>
      </c>
      <c r="L256" t="s">
        <v>30</v>
      </c>
      <c r="M256" t="s">
        <v>6</v>
      </c>
      <c r="N256" t="s">
        <v>372</v>
      </c>
      <c r="O256" t="s">
        <v>7</v>
      </c>
      <c r="Q256" t="b">
        <f t="shared" si="45"/>
        <v>1</v>
      </c>
      <c r="R256" t="b">
        <f t="shared" si="46"/>
        <v>1</v>
      </c>
      <c r="S256" t="b">
        <f t="shared" si="47"/>
        <v>1</v>
      </c>
      <c r="T256" t="b">
        <f t="shared" si="48"/>
        <v>1</v>
      </c>
      <c r="U256" t="b">
        <f t="shared" si="49"/>
        <v>1</v>
      </c>
      <c r="V256" t="b">
        <f t="shared" si="50"/>
        <v>1</v>
      </c>
      <c r="W256" t="b">
        <f t="shared" si="51"/>
        <v>1</v>
      </c>
      <c r="X256" t="b">
        <f t="shared" si="52"/>
        <v>1</v>
      </c>
      <c r="Y256" t="b">
        <f t="shared" si="53"/>
        <v>1</v>
      </c>
      <c r="Z256" t="b">
        <f t="shared" si="54"/>
        <v>1</v>
      </c>
      <c r="AA256" t="b">
        <f t="shared" si="55"/>
        <v>1</v>
      </c>
      <c r="AB256" t="b">
        <f t="shared" si="56"/>
        <v>1</v>
      </c>
      <c r="AC256" t="b">
        <f t="shared" si="57"/>
        <v>1</v>
      </c>
      <c r="AD256" t="b">
        <f t="shared" si="58"/>
        <v>1</v>
      </c>
      <c r="AE256" t="b">
        <f t="shared" si="59"/>
        <v>1</v>
      </c>
      <c r="AG256" s="1">
        <v>2684266</v>
      </c>
      <c r="AH256" t="s">
        <v>840</v>
      </c>
      <c r="AI256">
        <v>540</v>
      </c>
      <c r="AJ256" t="s">
        <v>503</v>
      </c>
      <c r="AK256" s="2">
        <v>46239</v>
      </c>
      <c r="AL256" s="2">
        <v>46238</v>
      </c>
      <c r="AM256" s="3">
        <v>48</v>
      </c>
      <c r="AN256" t="s">
        <v>20</v>
      </c>
      <c r="AO256" s="3">
        <v>20400</v>
      </c>
      <c r="AP256" t="s">
        <v>841</v>
      </c>
      <c r="AR256" t="s">
        <v>521</v>
      </c>
      <c r="AT256" t="s">
        <v>842</v>
      </c>
    </row>
    <row r="257" spans="1:47" x14ac:dyDescent="0.25">
      <c r="A257" s="1">
        <v>2723434</v>
      </c>
      <c r="B257" t="s">
        <v>373</v>
      </c>
      <c r="C257">
        <v>540</v>
      </c>
      <c r="D257" t="s">
        <v>1</v>
      </c>
      <c r="E257" s="2">
        <v>46238</v>
      </c>
      <c r="F257" s="2">
        <v>46238</v>
      </c>
      <c r="G257" s="3">
        <v>2</v>
      </c>
      <c r="H257" t="s">
        <v>11</v>
      </c>
      <c r="I257" s="3">
        <v>4400</v>
      </c>
      <c r="J257" t="s">
        <v>374</v>
      </c>
      <c r="K257" t="s">
        <v>4</v>
      </c>
      <c r="L257" t="s">
        <v>108</v>
      </c>
      <c r="M257" t="s">
        <v>6</v>
      </c>
      <c r="N257" t="s">
        <v>7</v>
      </c>
      <c r="O257" t="s">
        <v>7</v>
      </c>
      <c r="Q257" t="b">
        <f t="shared" si="45"/>
        <v>1</v>
      </c>
      <c r="R257" t="b">
        <f t="shared" si="46"/>
        <v>1</v>
      </c>
      <c r="S257" t="b">
        <f t="shared" si="47"/>
        <v>1</v>
      </c>
      <c r="T257" t="b">
        <f t="shared" si="48"/>
        <v>1</v>
      </c>
      <c r="U257" t="b">
        <f t="shared" si="49"/>
        <v>1</v>
      </c>
      <c r="V257" t="b">
        <f t="shared" si="50"/>
        <v>1</v>
      </c>
      <c r="W257" t="b">
        <f t="shared" si="51"/>
        <v>1</v>
      </c>
      <c r="X257" t="b">
        <f t="shared" si="52"/>
        <v>1</v>
      </c>
      <c r="Y257" t="b">
        <f t="shared" si="53"/>
        <v>1</v>
      </c>
      <c r="Z257" t="b">
        <f t="shared" si="54"/>
        <v>1</v>
      </c>
      <c r="AA257" t="b">
        <f t="shared" si="55"/>
        <v>1</v>
      </c>
      <c r="AB257" t="b">
        <f t="shared" si="56"/>
        <v>1</v>
      </c>
      <c r="AC257" t="b">
        <f t="shared" si="57"/>
        <v>1</v>
      </c>
      <c r="AD257" t="b">
        <f t="shared" si="58"/>
        <v>1</v>
      </c>
      <c r="AE257" t="b">
        <f t="shared" si="59"/>
        <v>1</v>
      </c>
      <c r="AG257" s="1">
        <v>2723434</v>
      </c>
      <c r="AH257" t="s">
        <v>843</v>
      </c>
      <c r="AI257">
        <v>540</v>
      </c>
      <c r="AJ257" t="s">
        <v>503</v>
      </c>
      <c r="AK257" s="2">
        <v>46238</v>
      </c>
      <c r="AL257" s="2">
        <v>46238</v>
      </c>
      <c r="AM257" s="3">
        <v>2</v>
      </c>
      <c r="AN257" t="s">
        <v>11</v>
      </c>
      <c r="AO257" s="3">
        <v>4400</v>
      </c>
      <c r="AP257" t="s">
        <v>844</v>
      </c>
      <c r="AR257" t="s">
        <v>595</v>
      </c>
    </row>
    <row r="258" spans="1:47" x14ac:dyDescent="0.25">
      <c r="A258" s="1">
        <v>2742628</v>
      </c>
      <c r="B258" t="s">
        <v>277</v>
      </c>
      <c r="C258">
        <v>540</v>
      </c>
      <c r="D258" t="s">
        <v>1</v>
      </c>
      <c r="E258" s="2">
        <v>46238</v>
      </c>
      <c r="F258" s="2">
        <v>46238</v>
      </c>
      <c r="G258" s="3">
        <v>24</v>
      </c>
      <c r="H258" t="s">
        <v>20</v>
      </c>
      <c r="I258" s="3">
        <v>11400</v>
      </c>
      <c r="J258" t="s">
        <v>278</v>
      </c>
      <c r="K258" t="s">
        <v>4</v>
      </c>
      <c r="L258" t="s">
        <v>279</v>
      </c>
      <c r="M258" t="s">
        <v>6</v>
      </c>
      <c r="N258" t="s">
        <v>7</v>
      </c>
      <c r="O258" t="s">
        <v>7</v>
      </c>
      <c r="Q258" t="b">
        <f t="shared" si="45"/>
        <v>1</v>
      </c>
      <c r="R258" t="b">
        <f t="shared" si="46"/>
        <v>1</v>
      </c>
      <c r="S258" t="b">
        <f t="shared" si="47"/>
        <v>1</v>
      </c>
      <c r="T258" t="b">
        <f t="shared" si="48"/>
        <v>1</v>
      </c>
      <c r="U258" t="b">
        <f t="shared" si="49"/>
        <v>1</v>
      </c>
      <c r="V258" t="b">
        <f t="shared" si="50"/>
        <v>1</v>
      </c>
      <c r="W258" t="b">
        <f t="shared" si="51"/>
        <v>1</v>
      </c>
      <c r="X258" t="b">
        <f t="shared" si="52"/>
        <v>1</v>
      </c>
      <c r="Y258" t="b">
        <f t="shared" si="53"/>
        <v>1</v>
      </c>
      <c r="Z258" t="b">
        <f t="shared" si="54"/>
        <v>1</v>
      </c>
      <c r="AA258" t="b">
        <f t="shared" si="55"/>
        <v>1</v>
      </c>
      <c r="AB258" t="b">
        <f t="shared" si="56"/>
        <v>1</v>
      </c>
      <c r="AC258" t="b">
        <f t="shared" si="57"/>
        <v>1</v>
      </c>
      <c r="AD258" t="b">
        <f t="shared" si="58"/>
        <v>1</v>
      </c>
      <c r="AE258" t="b">
        <f t="shared" si="59"/>
        <v>1</v>
      </c>
      <c r="AG258" s="1">
        <v>2742628</v>
      </c>
      <c r="AH258" t="s">
        <v>753</v>
      </c>
      <c r="AI258">
        <v>540</v>
      </c>
      <c r="AJ258" t="s">
        <v>503</v>
      </c>
      <c r="AK258" s="2">
        <v>46238</v>
      </c>
      <c r="AL258" s="2">
        <v>46238</v>
      </c>
      <c r="AM258" s="3">
        <v>24</v>
      </c>
      <c r="AN258" t="s">
        <v>20</v>
      </c>
      <c r="AO258" s="3">
        <v>11400</v>
      </c>
      <c r="AP258" t="s">
        <v>754</v>
      </c>
      <c r="AR258" t="s">
        <v>755</v>
      </c>
    </row>
    <row r="259" spans="1:47" x14ac:dyDescent="0.25">
      <c r="A259" s="1">
        <v>2744138</v>
      </c>
      <c r="B259" t="s">
        <v>0</v>
      </c>
      <c r="C259">
        <v>530</v>
      </c>
      <c r="D259" t="s">
        <v>1</v>
      </c>
      <c r="E259" s="2">
        <v>46238</v>
      </c>
      <c r="F259" s="2">
        <v>46238</v>
      </c>
      <c r="G259" s="3">
        <v>3</v>
      </c>
      <c r="H259" t="s">
        <v>8</v>
      </c>
      <c r="I259" s="3">
        <v>132</v>
      </c>
      <c r="J259" t="s">
        <v>250</v>
      </c>
      <c r="K259" t="s">
        <v>4</v>
      </c>
      <c r="L259" t="s">
        <v>30</v>
      </c>
      <c r="M259" t="s">
        <v>6</v>
      </c>
      <c r="N259" t="s">
        <v>7</v>
      </c>
      <c r="O259" t="s">
        <v>7</v>
      </c>
      <c r="Q259" t="b">
        <f t="shared" si="45"/>
        <v>1</v>
      </c>
      <c r="R259" t="b">
        <f t="shared" si="46"/>
        <v>1</v>
      </c>
      <c r="S259" t="b">
        <f t="shared" si="47"/>
        <v>1</v>
      </c>
      <c r="T259" t="b">
        <f t="shared" si="48"/>
        <v>1</v>
      </c>
      <c r="U259" t="b">
        <f t="shared" si="49"/>
        <v>1</v>
      </c>
      <c r="V259" t="b">
        <f t="shared" si="50"/>
        <v>1</v>
      </c>
      <c r="W259" t="b">
        <f t="shared" si="51"/>
        <v>1</v>
      </c>
      <c r="X259" t="b">
        <f t="shared" si="52"/>
        <v>1</v>
      </c>
      <c r="Y259" t="b">
        <f t="shared" si="53"/>
        <v>1</v>
      </c>
      <c r="Z259" t="b">
        <f t="shared" si="54"/>
        <v>1</v>
      </c>
      <c r="AA259" t="b">
        <f t="shared" si="55"/>
        <v>1</v>
      </c>
      <c r="AB259" t="b">
        <f t="shared" si="56"/>
        <v>1</v>
      </c>
      <c r="AC259" t="b">
        <f t="shared" si="57"/>
        <v>1</v>
      </c>
      <c r="AD259" t="b">
        <f t="shared" si="58"/>
        <v>1</v>
      </c>
      <c r="AE259" t="b">
        <f t="shared" si="59"/>
        <v>1</v>
      </c>
      <c r="AG259" s="1">
        <v>2744138</v>
      </c>
      <c r="AH259" t="s">
        <v>502</v>
      </c>
      <c r="AI259">
        <v>530</v>
      </c>
      <c r="AJ259" t="s">
        <v>503</v>
      </c>
      <c r="AK259" s="2">
        <v>46238</v>
      </c>
      <c r="AL259" s="2">
        <v>46238</v>
      </c>
      <c r="AM259" s="3">
        <v>3</v>
      </c>
      <c r="AN259" t="s">
        <v>8</v>
      </c>
      <c r="AO259" s="3">
        <v>132</v>
      </c>
      <c r="AP259" t="s">
        <v>728</v>
      </c>
      <c r="AR259" t="s">
        <v>521</v>
      </c>
    </row>
    <row r="260" spans="1:47" x14ac:dyDescent="0.25">
      <c r="A260" s="1">
        <v>2711871</v>
      </c>
      <c r="B260" t="s">
        <v>375</v>
      </c>
      <c r="C260">
        <v>540</v>
      </c>
      <c r="D260" t="s">
        <v>1</v>
      </c>
      <c r="E260" s="2">
        <v>46239</v>
      </c>
      <c r="F260" s="2">
        <v>46239</v>
      </c>
      <c r="G260" s="3">
        <v>4</v>
      </c>
      <c r="H260" t="s">
        <v>20</v>
      </c>
      <c r="I260" s="3">
        <v>1700</v>
      </c>
      <c r="J260" t="s">
        <v>376</v>
      </c>
      <c r="K260" t="s">
        <v>4</v>
      </c>
      <c r="L260" t="s">
        <v>108</v>
      </c>
      <c r="M260" t="s">
        <v>6</v>
      </c>
      <c r="N260" t="s">
        <v>7</v>
      </c>
      <c r="O260" t="s">
        <v>7</v>
      </c>
      <c r="Q260" t="b">
        <f t="shared" si="45"/>
        <v>1</v>
      </c>
      <c r="R260" t="b">
        <f t="shared" si="46"/>
        <v>1</v>
      </c>
      <c r="S260" t="b">
        <f t="shared" si="47"/>
        <v>1</v>
      </c>
      <c r="T260" t="b">
        <f t="shared" si="48"/>
        <v>1</v>
      </c>
      <c r="U260" t="b">
        <f t="shared" si="49"/>
        <v>1</v>
      </c>
      <c r="V260" t="b">
        <f t="shared" si="50"/>
        <v>1</v>
      </c>
      <c r="W260" t="b">
        <f t="shared" si="51"/>
        <v>1</v>
      </c>
      <c r="X260" t="b">
        <f t="shared" si="52"/>
        <v>1</v>
      </c>
      <c r="Y260" t="b">
        <f t="shared" si="53"/>
        <v>1</v>
      </c>
      <c r="Z260" t="b">
        <f t="shared" si="54"/>
        <v>1</v>
      </c>
      <c r="AA260" t="b">
        <f t="shared" si="55"/>
        <v>1</v>
      </c>
      <c r="AB260" t="b">
        <f t="shared" si="56"/>
        <v>1</v>
      </c>
      <c r="AC260" t="b">
        <f t="shared" si="57"/>
        <v>1</v>
      </c>
      <c r="AD260" t="b">
        <f t="shared" si="58"/>
        <v>1</v>
      </c>
      <c r="AE260" t="b">
        <f t="shared" si="59"/>
        <v>1</v>
      </c>
      <c r="AG260" s="1">
        <v>2711871</v>
      </c>
      <c r="AH260" t="s">
        <v>845</v>
      </c>
      <c r="AI260">
        <v>540</v>
      </c>
      <c r="AJ260" t="s">
        <v>503</v>
      </c>
      <c r="AK260" s="2">
        <v>46239</v>
      </c>
      <c r="AL260" s="2">
        <v>46239</v>
      </c>
      <c r="AM260" s="3">
        <v>4</v>
      </c>
      <c r="AN260" t="s">
        <v>20</v>
      </c>
      <c r="AO260" s="3">
        <v>1700</v>
      </c>
      <c r="AP260" t="s">
        <v>846</v>
      </c>
      <c r="AR260" t="s">
        <v>595</v>
      </c>
    </row>
    <row r="261" spans="1:47" x14ac:dyDescent="0.25">
      <c r="A261" s="1">
        <v>2714190</v>
      </c>
      <c r="B261" t="s">
        <v>377</v>
      </c>
      <c r="C261">
        <v>540</v>
      </c>
      <c r="D261" t="s">
        <v>1</v>
      </c>
      <c r="E261" s="2">
        <v>46239</v>
      </c>
      <c r="F261" s="2">
        <v>46239</v>
      </c>
      <c r="G261" s="3">
        <v>39440</v>
      </c>
      <c r="H261" t="s">
        <v>16</v>
      </c>
      <c r="I261" s="3">
        <v>39440</v>
      </c>
      <c r="J261" t="s">
        <v>378</v>
      </c>
      <c r="K261" t="s">
        <v>4</v>
      </c>
      <c r="L261" t="s">
        <v>379</v>
      </c>
      <c r="M261" t="s">
        <v>23</v>
      </c>
      <c r="N261" t="s">
        <v>7</v>
      </c>
      <c r="O261" t="s">
        <v>380</v>
      </c>
      <c r="Q261" t="b">
        <f t="shared" si="45"/>
        <v>1</v>
      </c>
      <c r="R261" t="b">
        <f t="shared" si="46"/>
        <v>1</v>
      </c>
      <c r="S261" t="b">
        <f t="shared" si="47"/>
        <v>1</v>
      </c>
      <c r="T261" t="b">
        <f t="shared" si="48"/>
        <v>1</v>
      </c>
      <c r="U261" t="b">
        <f t="shared" si="49"/>
        <v>1</v>
      </c>
      <c r="V261" t="b">
        <f t="shared" si="50"/>
        <v>1</v>
      </c>
      <c r="W261" t="b">
        <f t="shared" si="51"/>
        <v>1</v>
      </c>
      <c r="X261" t="b">
        <f t="shared" si="52"/>
        <v>1</v>
      </c>
      <c r="Y261" t="b">
        <f t="shared" si="53"/>
        <v>1</v>
      </c>
      <c r="Z261" t="b">
        <f t="shared" si="54"/>
        <v>1</v>
      </c>
      <c r="AA261" t="b">
        <f t="shared" si="55"/>
        <v>1</v>
      </c>
      <c r="AB261" t="b">
        <f t="shared" si="56"/>
        <v>1</v>
      </c>
      <c r="AC261" t="b">
        <f t="shared" si="57"/>
        <v>1</v>
      </c>
      <c r="AD261" t="b">
        <f t="shared" si="58"/>
        <v>1</v>
      </c>
      <c r="AE261" t="b">
        <f t="shared" si="59"/>
        <v>1</v>
      </c>
      <c r="AG261" s="1">
        <v>2714190</v>
      </c>
      <c r="AH261" t="s">
        <v>847</v>
      </c>
      <c r="AI261">
        <v>540</v>
      </c>
      <c r="AJ261" t="s">
        <v>503</v>
      </c>
      <c r="AK261" s="2">
        <v>46239</v>
      </c>
      <c r="AL261" s="2">
        <v>46239</v>
      </c>
      <c r="AM261" s="3">
        <v>39440</v>
      </c>
      <c r="AN261" t="s">
        <v>16</v>
      </c>
      <c r="AO261" s="3">
        <v>39440</v>
      </c>
      <c r="AP261" t="s">
        <v>848</v>
      </c>
      <c r="AR261" t="s">
        <v>849</v>
      </c>
      <c r="AS261" t="s">
        <v>23</v>
      </c>
      <c r="AU261" t="s">
        <v>850</v>
      </c>
    </row>
    <row r="262" spans="1:47" x14ac:dyDescent="0.25">
      <c r="A262" s="1">
        <v>2728464</v>
      </c>
      <c r="B262" t="s">
        <v>381</v>
      </c>
      <c r="C262">
        <v>540</v>
      </c>
      <c r="D262" t="s">
        <v>1</v>
      </c>
      <c r="E262" s="2">
        <v>46239</v>
      </c>
      <c r="F262" s="2">
        <v>46239</v>
      </c>
      <c r="G262" s="3">
        <v>10</v>
      </c>
      <c r="H262" t="s">
        <v>11</v>
      </c>
      <c r="I262" s="3">
        <v>22000</v>
      </c>
      <c r="J262" t="s">
        <v>382</v>
      </c>
      <c r="K262" t="s">
        <v>4</v>
      </c>
      <c r="L262" t="s">
        <v>22</v>
      </c>
      <c r="M262" t="s">
        <v>23</v>
      </c>
      <c r="N262" t="s">
        <v>7</v>
      </c>
      <c r="O262" t="s">
        <v>7</v>
      </c>
      <c r="Q262" t="b">
        <f t="shared" si="45"/>
        <v>1</v>
      </c>
      <c r="R262" t="b">
        <f t="shared" si="46"/>
        <v>1</v>
      </c>
      <c r="S262" t="b">
        <f t="shared" si="47"/>
        <v>1</v>
      </c>
      <c r="T262" t="b">
        <f t="shared" si="48"/>
        <v>1</v>
      </c>
      <c r="U262" t="b">
        <f t="shared" si="49"/>
        <v>1</v>
      </c>
      <c r="V262" t="b">
        <f t="shared" si="50"/>
        <v>1</v>
      </c>
      <c r="W262" t="b">
        <f t="shared" si="51"/>
        <v>1</v>
      </c>
      <c r="X262" t="b">
        <f t="shared" si="52"/>
        <v>1</v>
      </c>
      <c r="Y262" t="b">
        <f t="shared" si="53"/>
        <v>1</v>
      </c>
      <c r="Z262" t="b">
        <f t="shared" si="54"/>
        <v>1</v>
      </c>
      <c r="AA262" t="b">
        <f t="shared" si="55"/>
        <v>1</v>
      </c>
      <c r="AB262" t="b">
        <f t="shared" si="56"/>
        <v>1</v>
      </c>
      <c r="AC262" t="b">
        <f t="shared" si="57"/>
        <v>1</v>
      </c>
      <c r="AD262" t="b">
        <f t="shared" si="58"/>
        <v>1</v>
      </c>
      <c r="AE262" t="b">
        <f t="shared" si="59"/>
        <v>1</v>
      </c>
      <c r="AG262" s="1">
        <v>2728464</v>
      </c>
      <c r="AH262" t="s">
        <v>851</v>
      </c>
      <c r="AI262">
        <v>540</v>
      </c>
      <c r="AJ262" t="s">
        <v>503</v>
      </c>
      <c r="AK262" s="2">
        <v>46239</v>
      </c>
      <c r="AL262" s="2">
        <v>46239</v>
      </c>
      <c r="AM262" s="3">
        <v>10</v>
      </c>
      <c r="AN262" t="s">
        <v>11</v>
      </c>
      <c r="AO262" s="3">
        <v>22000</v>
      </c>
      <c r="AP262" t="s">
        <v>852</v>
      </c>
      <c r="AR262" t="s">
        <v>516</v>
      </c>
      <c r="AS262" t="s">
        <v>23</v>
      </c>
    </row>
    <row r="263" spans="1:47" x14ac:dyDescent="0.25">
      <c r="A263" s="1">
        <v>2732199</v>
      </c>
      <c r="B263" t="s">
        <v>383</v>
      </c>
      <c r="C263">
        <v>540</v>
      </c>
      <c r="D263" t="s">
        <v>1</v>
      </c>
      <c r="E263" s="2">
        <v>46239</v>
      </c>
      <c r="F263" s="2">
        <v>46239</v>
      </c>
      <c r="G263" s="3">
        <v>6</v>
      </c>
      <c r="H263" t="s">
        <v>20</v>
      </c>
      <c r="I263" s="3">
        <v>2700</v>
      </c>
      <c r="J263" t="s">
        <v>384</v>
      </c>
      <c r="K263" t="s">
        <v>4</v>
      </c>
      <c r="L263" t="s">
        <v>37</v>
      </c>
      <c r="M263" t="s">
        <v>6</v>
      </c>
      <c r="N263" t="s">
        <v>385</v>
      </c>
      <c r="O263" t="s">
        <v>7</v>
      </c>
      <c r="Q263" t="b">
        <f t="shared" si="45"/>
        <v>1</v>
      </c>
      <c r="R263" t="b">
        <f t="shared" si="46"/>
        <v>1</v>
      </c>
      <c r="S263" t="b">
        <f t="shared" si="47"/>
        <v>1</v>
      </c>
      <c r="T263" t="b">
        <f t="shared" si="48"/>
        <v>1</v>
      </c>
      <c r="U263" t="b">
        <f t="shared" si="49"/>
        <v>1</v>
      </c>
      <c r="V263" t="b">
        <f t="shared" si="50"/>
        <v>1</v>
      </c>
      <c r="W263" t="b">
        <f t="shared" si="51"/>
        <v>1</v>
      </c>
      <c r="X263" t="b">
        <f t="shared" si="52"/>
        <v>1</v>
      </c>
      <c r="Y263" t="b">
        <f t="shared" si="53"/>
        <v>1</v>
      </c>
      <c r="Z263" t="b">
        <f t="shared" si="54"/>
        <v>1</v>
      </c>
      <c r="AA263" t="b">
        <f t="shared" si="55"/>
        <v>1</v>
      </c>
      <c r="AB263" t="b">
        <f t="shared" si="56"/>
        <v>1</v>
      </c>
      <c r="AC263" t="b">
        <f t="shared" si="57"/>
        <v>1</v>
      </c>
      <c r="AD263" t="b">
        <f t="shared" si="58"/>
        <v>1</v>
      </c>
      <c r="AE263" t="b">
        <f t="shared" si="59"/>
        <v>1</v>
      </c>
      <c r="AG263" s="1">
        <v>2732199</v>
      </c>
      <c r="AH263" t="s">
        <v>853</v>
      </c>
      <c r="AI263">
        <v>540</v>
      </c>
      <c r="AJ263" t="s">
        <v>503</v>
      </c>
      <c r="AK263" s="2">
        <v>46239</v>
      </c>
      <c r="AL263" s="2">
        <v>46239</v>
      </c>
      <c r="AM263" s="3">
        <v>6</v>
      </c>
      <c r="AN263" t="s">
        <v>20</v>
      </c>
      <c r="AO263" s="3">
        <v>2700</v>
      </c>
      <c r="AP263" t="s">
        <v>854</v>
      </c>
      <c r="AR263" t="s">
        <v>528</v>
      </c>
      <c r="AT263" t="s">
        <v>855</v>
      </c>
    </row>
    <row r="264" spans="1:47" x14ac:dyDescent="0.25">
      <c r="A264" s="1">
        <v>2733571</v>
      </c>
      <c r="B264" t="s">
        <v>386</v>
      </c>
      <c r="C264">
        <v>540</v>
      </c>
      <c r="D264" t="s">
        <v>1</v>
      </c>
      <c r="E264" s="2">
        <v>46239</v>
      </c>
      <c r="F264" s="2">
        <v>46239</v>
      </c>
      <c r="G264" s="3">
        <v>80</v>
      </c>
      <c r="H264" t="s">
        <v>20</v>
      </c>
      <c r="I264" s="3">
        <v>0</v>
      </c>
      <c r="J264" t="s">
        <v>387</v>
      </c>
      <c r="K264" t="s">
        <v>4</v>
      </c>
      <c r="L264" t="s">
        <v>108</v>
      </c>
      <c r="M264" t="s">
        <v>6</v>
      </c>
      <c r="N264" t="s">
        <v>7</v>
      </c>
      <c r="O264" t="s">
        <v>388</v>
      </c>
      <c r="Q264" t="b">
        <f t="shared" si="45"/>
        <v>1</v>
      </c>
      <c r="R264" t="b">
        <f t="shared" si="46"/>
        <v>1</v>
      </c>
      <c r="S264" t="b">
        <f t="shared" si="47"/>
        <v>1</v>
      </c>
      <c r="T264" t="b">
        <f t="shared" si="48"/>
        <v>1</v>
      </c>
      <c r="U264" t="b">
        <f t="shared" si="49"/>
        <v>1</v>
      </c>
      <c r="V264" t="b">
        <f t="shared" si="50"/>
        <v>1</v>
      </c>
      <c r="W264" t="b">
        <f t="shared" si="51"/>
        <v>1</v>
      </c>
      <c r="X264" t="b">
        <f t="shared" si="52"/>
        <v>1</v>
      </c>
      <c r="Y264" t="b">
        <f t="shared" si="53"/>
        <v>1</v>
      </c>
      <c r="Z264" t="b">
        <f t="shared" si="54"/>
        <v>1</v>
      </c>
      <c r="AA264" t="b">
        <f t="shared" si="55"/>
        <v>1</v>
      </c>
      <c r="AB264" t="b">
        <f t="shared" si="56"/>
        <v>1</v>
      </c>
      <c r="AC264" t="b">
        <f t="shared" si="57"/>
        <v>1</v>
      </c>
      <c r="AD264" t="b">
        <f t="shared" si="58"/>
        <v>1</v>
      </c>
      <c r="AE264" t="b">
        <f t="shared" si="59"/>
        <v>1</v>
      </c>
      <c r="AG264" s="1">
        <v>2733571</v>
      </c>
      <c r="AH264" t="s">
        <v>856</v>
      </c>
      <c r="AI264">
        <v>540</v>
      </c>
      <c r="AJ264" t="s">
        <v>503</v>
      </c>
      <c r="AK264" s="2">
        <v>46239</v>
      </c>
      <c r="AL264" s="2">
        <v>46239</v>
      </c>
      <c r="AM264" s="3">
        <v>80</v>
      </c>
      <c r="AN264" t="s">
        <v>20</v>
      </c>
      <c r="AO264" s="3">
        <v>0</v>
      </c>
      <c r="AP264" t="s">
        <v>857</v>
      </c>
      <c r="AR264" t="s">
        <v>595</v>
      </c>
      <c r="AU264" t="s">
        <v>858</v>
      </c>
    </row>
    <row r="265" spans="1:47" x14ac:dyDescent="0.25">
      <c r="A265" s="1">
        <v>2569172</v>
      </c>
      <c r="B265" t="s">
        <v>19</v>
      </c>
      <c r="C265">
        <v>540</v>
      </c>
      <c r="D265" t="s">
        <v>1</v>
      </c>
      <c r="E265" s="2">
        <v>46240</v>
      </c>
      <c r="F265" s="2">
        <v>46240</v>
      </c>
      <c r="G265" s="3">
        <v>80</v>
      </c>
      <c r="H265" t="s">
        <v>20</v>
      </c>
      <c r="I265" s="3">
        <v>36000</v>
      </c>
      <c r="J265" t="s">
        <v>21</v>
      </c>
      <c r="K265" t="s">
        <v>4</v>
      </c>
      <c r="L265" t="s">
        <v>22</v>
      </c>
      <c r="M265" t="s">
        <v>6</v>
      </c>
      <c r="N265" t="s">
        <v>7</v>
      </c>
      <c r="O265" t="s">
        <v>7</v>
      </c>
      <c r="Q265" t="b">
        <f t="shared" si="45"/>
        <v>1</v>
      </c>
      <c r="R265" t="b">
        <f t="shared" si="46"/>
        <v>1</v>
      </c>
      <c r="S265" t="b">
        <f t="shared" si="47"/>
        <v>1</v>
      </c>
      <c r="T265" t="b">
        <f t="shared" si="48"/>
        <v>1</v>
      </c>
      <c r="U265" t="b">
        <f t="shared" si="49"/>
        <v>1</v>
      </c>
      <c r="V265" t="b">
        <f t="shared" si="50"/>
        <v>1</v>
      </c>
      <c r="W265" t="b">
        <f t="shared" si="51"/>
        <v>1</v>
      </c>
      <c r="X265" t="b">
        <f t="shared" si="52"/>
        <v>1</v>
      </c>
      <c r="Y265" t="b">
        <f t="shared" si="53"/>
        <v>1</v>
      </c>
      <c r="Z265" t="b">
        <f t="shared" si="54"/>
        <v>1</v>
      </c>
      <c r="AA265" t="b">
        <f t="shared" si="55"/>
        <v>1</v>
      </c>
      <c r="AB265" t="b">
        <f t="shared" si="56"/>
        <v>1</v>
      </c>
      <c r="AC265" t="b">
        <f t="shared" si="57"/>
        <v>1</v>
      </c>
      <c r="AD265" t="b">
        <f t="shared" si="58"/>
        <v>1</v>
      </c>
      <c r="AE265" t="b">
        <f t="shared" si="59"/>
        <v>1</v>
      </c>
      <c r="AG265" s="1">
        <v>2569172</v>
      </c>
      <c r="AH265" t="s">
        <v>514</v>
      </c>
      <c r="AI265">
        <v>540</v>
      </c>
      <c r="AJ265" t="s">
        <v>503</v>
      </c>
      <c r="AK265" s="2">
        <v>46240</v>
      </c>
      <c r="AL265" s="2">
        <v>46240</v>
      </c>
      <c r="AM265" s="3">
        <v>80</v>
      </c>
      <c r="AN265" t="s">
        <v>20</v>
      </c>
      <c r="AO265" s="3">
        <v>36000</v>
      </c>
      <c r="AP265" t="s">
        <v>515</v>
      </c>
      <c r="AR265" t="s">
        <v>516</v>
      </c>
    </row>
    <row r="266" spans="1:47" x14ac:dyDescent="0.25">
      <c r="A266" s="1">
        <v>2738850</v>
      </c>
      <c r="B266" t="s">
        <v>0</v>
      </c>
      <c r="C266">
        <v>540</v>
      </c>
      <c r="D266" t="s">
        <v>1</v>
      </c>
      <c r="E266" s="2">
        <v>46240</v>
      </c>
      <c r="F266" s="2">
        <v>46240</v>
      </c>
      <c r="G266" s="3">
        <v>3</v>
      </c>
      <c r="H266" t="s">
        <v>20</v>
      </c>
      <c r="I266" s="3">
        <v>1350</v>
      </c>
      <c r="J266" t="s">
        <v>389</v>
      </c>
      <c r="K266" t="s">
        <v>4</v>
      </c>
      <c r="L266" t="s">
        <v>108</v>
      </c>
      <c r="M266" t="s">
        <v>6</v>
      </c>
      <c r="N266" t="s">
        <v>390</v>
      </c>
      <c r="O266" t="s">
        <v>391</v>
      </c>
      <c r="Q266" t="b">
        <f t="shared" ref="Q266:Q329" si="60">IFERROR(ABS(A266-AG266)&lt;=0.001,EXACT(A266&amp;"",AG266&amp;""))</f>
        <v>1</v>
      </c>
      <c r="R266" t="b">
        <f t="shared" ref="R266:R329" si="61">EXACT(TRIM(B266&amp;""),TRIM(AH266&amp;""))</f>
        <v>1</v>
      </c>
      <c r="S266" t="b">
        <f t="shared" ref="S266:S329" si="62">EXACT(TRIM(C266&amp;""),TRIM(AI266&amp;""))</f>
        <v>1</v>
      </c>
      <c r="T266" t="b">
        <f t="shared" ref="T266:T329" si="63">EXACT(TRIM(D266&amp;""),TRIM(AJ266&amp;""))</f>
        <v>1</v>
      </c>
      <c r="U266" t="b">
        <f t="shared" ref="U266:U329" si="64">IFERROR(INT(E266)=INT(AK266),EXACT(E266&amp;"",AK266&amp;""))</f>
        <v>1</v>
      </c>
      <c r="V266" t="b">
        <f t="shared" ref="V266:V329" si="65">IFERROR(INT(F266)=INT(AL266),EXACT(F266&amp;"",AL266&amp;""))</f>
        <v>1</v>
      </c>
      <c r="W266" t="b">
        <f t="shared" ref="W266:W329" si="66">IFERROR(ROUND(G266,0)=ROUND(AM266,0),EXACT(G266&amp;"",AM266&amp;""))</f>
        <v>1</v>
      </c>
      <c r="X266" t="b">
        <f t="shared" ref="X266:X329" si="67">EXACT(TRIM(H266&amp;""),TRIM(AN266&amp;""))</f>
        <v>1</v>
      </c>
      <c r="Y266" t="b">
        <f t="shared" ref="Y266:Y329" si="68">IFERROR(ROUND(I266,0)=ROUND(AO266,0),EXACT(I266&amp;"",AO266&amp;""))</f>
        <v>1</v>
      </c>
      <c r="Z266" t="b">
        <f t="shared" ref="Z266:Z329" si="69">EXACT(TRIM(J266&amp;""),TRIM(AP266&amp;""))</f>
        <v>1</v>
      </c>
      <c r="AA266" t="b">
        <f t="shared" ref="AA266:AA329" si="70">EXACT(TRIM(K266&amp;""),TRIM(AQ266&amp;""))</f>
        <v>1</v>
      </c>
      <c r="AB266" t="b">
        <f t="shared" ref="AB266:AB329" si="71">EXACT(TRIM(L266&amp;""),TRIM(AR266&amp;""))</f>
        <v>1</v>
      </c>
      <c r="AC266" t="b">
        <f t="shared" ref="AC266:AC329" si="72">EXACT(TRIM(M266&amp;""),TRIM(AS266&amp;""))</f>
        <v>1</v>
      </c>
      <c r="AD266" t="b">
        <f t="shared" ref="AD266:AD329" si="73">EXACT(TRIM(N266&amp;""),TRIM(AT266&amp;""))</f>
        <v>1</v>
      </c>
      <c r="AE266" t="b">
        <f t="shared" ref="AE266:AE329" si="74">EXACT(TRIM(O266&amp;""),TRIM(AU266&amp;""))</f>
        <v>1</v>
      </c>
      <c r="AG266" s="1">
        <v>2738850</v>
      </c>
      <c r="AH266" t="s">
        <v>502</v>
      </c>
      <c r="AI266">
        <v>540</v>
      </c>
      <c r="AJ266" t="s">
        <v>503</v>
      </c>
      <c r="AK266" s="2">
        <v>46240</v>
      </c>
      <c r="AL266" s="2">
        <v>46240</v>
      </c>
      <c r="AM266" s="3">
        <v>3</v>
      </c>
      <c r="AN266" t="s">
        <v>20</v>
      </c>
      <c r="AO266" s="3">
        <v>1350</v>
      </c>
      <c r="AP266" t="s">
        <v>859</v>
      </c>
      <c r="AR266" t="s">
        <v>595</v>
      </c>
      <c r="AT266" t="s">
        <v>860</v>
      </c>
      <c r="AU266" t="s">
        <v>861</v>
      </c>
    </row>
    <row r="267" spans="1:47" x14ac:dyDescent="0.25">
      <c r="A267" s="1">
        <v>2743550</v>
      </c>
      <c r="B267" t="s">
        <v>14</v>
      </c>
      <c r="C267">
        <v>530</v>
      </c>
      <c r="D267" t="s">
        <v>15</v>
      </c>
      <c r="E267" s="2">
        <v>46240</v>
      </c>
      <c r="F267" s="2">
        <v>46240</v>
      </c>
      <c r="G267" s="3">
        <v>44000</v>
      </c>
      <c r="H267" t="s">
        <v>16</v>
      </c>
      <c r="I267" s="3">
        <v>44000</v>
      </c>
      <c r="J267" t="s">
        <v>17</v>
      </c>
      <c r="K267" t="s">
        <v>4</v>
      </c>
      <c r="L267" t="s">
        <v>5</v>
      </c>
      <c r="M267" t="s">
        <v>6</v>
      </c>
      <c r="N267" t="s">
        <v>7</v>
      </c>
      <c r="O267" t="s">
        <v>18</v>
      </c>
      <c r="Q267" t="b">
        <f t="shared" si="60"/>
        <v>1</v>
      </c>
      <c r="R267" t="b">
        <f t="shared" si="61"/>
        <v>1</v>
      </c>
      <c r="S267" t="b">
        <f t="shared" si="62"/>
        <v>1</v>
      </c>
      <c r="T267" t="b">
        <f t="shared" si="63"/>
        <v>1</v>
      </c>
      <c r="U267" t="b">
        <f t="shared" si="64"/>
        <v>1</v>
      </c>
      <c r="V267" t="b">
        <f t="shared" si="65"/>
        <v>1</v>
      </c>
      <c r="W267" t="b">
        <f t="shared" si="66"/>
        <v>1</v>
      </c>
      <c r="X267" t="b">
        <f t="shared" si="67"/>
        <v>1</v>
      </c>
      <c r="Y267" t="b">
        <f t="shared" si="68"/>
        <v>1</v>
      </c>
      <c r="Z267" t="b">
        <f t="shared" si="69"/>
        <v>1</v>
      </c>
      <c r="AA267" t="b">
        <f t="shared" si="70"/>
        <v>1</v>
      </c>
      <c r="AB267" t="b">
        <f t="shared" si="71"/>
        <v>1</v>
      </c>
      <c r="AC267" t="b">
        <f t="shared" si="72"/>
        <v>1</v>
      </c>
      <c r="AD267" t="b">
        <f t="shared" si="73"/>
        <v>1</v>
      </c>
      <c r="AE267" t="b">
        <f t="shared" si="74"/>
        <v>1</v>
      </c>
      <c r="AG267" s="1">
        <v>2743550</v>
      </c>
      <c r="AH267" t="s">
        <v>510</v>
      </c>
      <c r="AI267">
        <v>530</v>
      </c>
      <c r="AJ267" t="s">
        <v>511</v>
      </c>
      <c r="AK267" s="2">
        <v>46240</v>
      </c>
      <c r="AL267" s="2">
        <v>46240</v>
      </c>
      <c r="AM267" s="3">
        <v>44000</v>
      </c>
      <c r="AN267" t="s">
        <v>16</v>
      </c>
      <c r="AO267" s="3">
        <v>44000</v>
      </c>
      <c r="AP267" t="s">
        <v>512</v>
      </c>
      <c r="AR267" t="s">
        <v>505</v>
      </c>
      <c r="AU267" t="s">
        <v>513</v>
      </c>
    </row>
    <row r="268" spans="1:47" x14ac:dyDescent="0.25">
      <c r="A268" s="1">
        <v>2603140</v>
      </c>
      <c r="B268" t="s">
        <v>26</v>
      </c>
      <c r="C268">
        <v>540</v>
      </c>
      <c r="D268" t="s">
        <v>1</v>
      </c>
      <c r="E268" s="2">
        <v>46160</v>
      </c>
      <c r="F268" s="2">
        <v>46241</v>
      </c>
      <c r="G268" s="3">
        <v>3</v>
      </c>
      <c r="H268" t="s">
        <v>27</v>
      </c>
      <c r="I268" s="3">
        <v>0</v>
      </c>
      <c r="J268" t="s">
        <v>392</v>
      </c>
      <c r="K268" t="s">
        <v>29</v>
      </c>
      <c r="L268" t="s">
        <v>30</v>
      </c>
      <c r="M268" t="s">
        <v>6</v>
      </c>
      <c r="N268" t="s">
        <v>7</v>
      </c>
      <c r="O268" t="s">
        <v>31</v>
      </c>
      <c r="Q268" t="b">
        <f t="shared" si="60"/>
        <v>1</v>
      </c>
      <c r="R268" t="b">
        <f t="shared" si="61"/>
        <v>1</v>
      </c>
      <c r="S268" t="b">
        <f t="shared" si="62"/>
        <v>1</v>
      </c>
      <c r="T268" t="b">
        <f t="shared" si="63"/>
        <v>1</v>
      </c>
      <c r="U268" t="b">
        <f t="shared" si="64"/>
        <v>1</v>
      </c>
      <c r="V268" t="b">
        <f t="shared" si="65"/>
        <v>1</v>
      </c>
      <c r="W268" t="b">
        <f t="shared" si="66"/>
        <v>1</v>
      </c>
      <c r="X268" t="b">
        <f t="shared" si="67"/>
        <v>1</v>
      </c>
      <c r="Y268" t="b">
        <f t="shared" si="68"/>
        <v>1</v>
      </c>
      <c r="Z268" t="b">
        <f t="shared" si="69"/>
        <v>1</v>
      </c>
      <c r="AA268" t="b">
        <f t="shared" si="70"/>
        <v>1</v>
      </c>
      <c r="AB268" t="b">
        <f t="shared" si="71"/>
        <v>1</v>
      </c>
      <c r="AC268" t="b">
        <f t="shared" si="72"/>
        <v>1</v>
      </c>
      <c r="AD268" t="b">
        <f t="shared" si="73"/>
        <v>1</v>
      </c>
      <c r="AE268" t="b">
        <f t="shared" si="74"/>
        <v>1</v>
      </c>
      <c r="AG268" s="1">
        <v>2603140</v>
      </c>
      <c r="AH268" t="s">
        <v>519</v>
      </c>
      <c r="AI268">
        <v>540</v>
      </c>
      <c r="AJ268" t="s">
        <v>503</v>
      </c>
      <c r="AK268" s="2">
        <v>46160</v>
      </c>
      <c r="AL268" s="2">
        <v>46241</v>
      </c>
      <c r="AM268" s="3">
        <v>3</v>
      </c>
      <c r="AN268" t="s">
        <v>27</v>
      </c>
      <c r="AO268" s="3">
        <v>0</v>
      </c>
      <c r="AP268" t="s">
        <v>862</v>
      </c>
      <c r="AQ268" t="s">
        <v>29</v>
      </c>
      <c r="AR268" t="s">
        <v>521</v>
      </c>
      <c r="AU268" t="s">
        <v>522</v>
      </c>
    </row>
    <row r="269" spans="1:47" x14ac:dyDescent="0.25">
      <c r="A269" s="1">
        <v>2723251</v>
      </c>
      <c r="B269" t="s">
        <v>263</v>
      </c>
      <c r="C269">
        <v>540</v>
      </c>
      <c r="D269" t="s">
        <v>1</v>
      </c>
      <c r="E269" s="2">
        <v>46241</v>
      </c>
      <c r="F269" s="2">
        <v>46241</v>
      </c>
      <c r="G269" s="3">
        <v>32</v>
      </c>
      <c r="H269" t="s">
        <v>20</v>
      </c>
      <c r="I269" s="3">
        <v>15200</v>
      </c>
      <c r="J269" t="s">
        <v>39</v>
      </c>
      <c r="K269" t="s">
        <v>4</v>
      </c>
      <c r="L269" t="s">
        <v>30</v>
      </c>
      <c r="M269" t="s">
        <v>6</v>
      </c>
      <c r="N269" t="s">
        <v>264</v>
      </c>
      <c r="O269" t="s">
        <v>7</v>
      </c>
      <c r="Q269" t="b">
        <f t="shared" si="60"/>
        <v>1</v>
      </c>
      <c r="R269" t="b">
        <f t="shared" si="61"/>
        <v>1</v>
      </c>
      <c r="S269" t="b">
        <f t="shared" si="62"/>
        <v>1</v>
      </c>
      <c r="T269" t="b">
        <f t="shared" si="63"/>
        <v>1</v>
      </c>
      <c r="U269" t="b">
        <f t="shared" si="64"/>
        <v>1</v>
      </c>
      <c r="V269" t="b">
        <f t="shared" si="65"/>
        <v>1</v>
      </c>
      <c r="W269" t="b">
        <f t="shared" si="66"/>
        <v>1</v>
      </c>
      <c r="X269" t="b">
        <f t="shared" si="67"/>
        <v>1</v>
      </c>
      <c r="Y269" t="b">
        <f t="shared" si="68"/>
        <v>1</v>
      </c>
      <c r="Z269" t="b">
        <f t="shared" si="69"/>
        <v>1</v>
      </c>
      <c r="AA269" t="b">
        <f t="shared" si="70"/>
        <v>1</v>
      </c>
      <c r="AB269" t="b">
        <f t="shared" si="71"/>
        <v>1</v>
      </c>
      <c r="AC269" t="b">
        <f t="shared" si="72"/>
        <v>1</v>
      </c>
      <c r="AD269" t="b">
        <f t="shared" si="73"/>
        <v>1</v>
      </c>
      <c r="AE269" t="b">
        <f t="shared" si="74"/>
        <v>1</v>
      </c>
      <c r="AG269" s="1">
        <v>2723251</v>
      </c>
      <c r="AH269" t="s">
        <v>740</v>
      </c>
      <c r="AI269">
        <v>540</v>
      </c>
      <c r="AJ269" t="s">
        <v>503</v>
      </c>
      <c r="AK269" s="2">
        <v>46241</v>
      </c>
      <c r="AL269" s="2">
        <v>46241</v>
      </c>
      <c r="AM269" s="3">
        <v>32</v>
      </c>
      <c r="AN269" t="s">
        <v>20</v>
      </c>
      <c r="AO269" s="3">
        <v>15200</v>
      </c>
      <c r="AP269" t="s">
        <v>530</v>
      </c>
      <c r="AR269" t="s">
        <v>521</v>
      </c>
      <c r="AT269" t="s">
        <v>741</v>
      </c>
    </row>
    <row r="270" spans="1:47" x14ac:dyDescent="0.25">
      <c r="A270" s="1">
        <v>2732236</v>
      </c>
      <c r="B270" t="s">
        <v>393</v>
      </c>
      <c r="C270">
        <v>540</v>
      </c>
      <c r="D270" t="s">
        <v>15</v>
      </c>
      <c r="E270" s="2">
        <v>46220</v>
      </c>
      <c r="F270" s="2">
        <v>46241</v>
      </c>
      <c r="G270" s="3">
        <v>40000</v>
      </c>
      <c r="H270" t="s">
        <v>16</v>
      </c>
      <c r="I270" s="3">
        <v>40000</v>
      </c>
      <c r="J270" t="s">
        <v>394</v>
      </c>
      <c r="K270" t="s">
        <v>4</v>
      </c>
      <c r="L270" t="s">
        <v>379</v>
      </c>
      <c r="M270" t="s">
        <v>6</v>
      </c>
      <c r="N270" t="s">
        <v>7</v>
      </c>
      <c r="O270" t="s">
        <v>395</v>
      </c>
      <c r="Q270" t="b">
        <f t="shared" si="60"/>
        <v>1</v>
      </c>
      <c r="R270" t="b">
        <f t="shared" si="61"/>
        <v>1</v>
      </c>
      <c r="S270" t="b">
        <f t="shared" si="62"/>
        <v>1</v>
      </c>
      <c r="T270" t="b">
        <f t="shared" si="63"/>
        <v>1</v>
      </c>
      <c r="U270" t="b">
        <f t="shared" si="64"/>
        <v>1</v>
      </c>
      <c r="V270" t="b">
        <f t="shared" si="65"/>
        <v>1</v>
      </c>
      <c r="W270" t="b">
        <f t="shared" si="66"/>
        <v>1</v>
      </c>
      <c r="X270" t="b">
        <f t="shared" si="67"/>
        <v>1</v>
      </c>
      <c r="Y270" t="b">
        <f t="shared" si="68"/>
        <v>1</v>
      </c>
      <c r="Z270" t="b">
        <f t="shared" si="69"/>
        <v>1</v>
      </c>
      <c r="AA270" t="b">
        <f t="shared" si="70"/>
        <v>1</v>
      </c>
      <c r="AB270" t="b">
        <f t="shared" si="71"/>
        <v>1</v>
      </c>
      <c r="AC270" t="b">
        <f t="shared" si="72"/>
        <v>1</v>
      </c>
      <c r="AD270" t="b">
        <f t="shared" si="73"/>
        <v>1</v>
      </c>
      <c r="AE270" t="b">
        <f t="shared" si="74"/>
        <v>1</v>
      </c>
      <c r="AG270" s="1">
        <v>2732236</v>
      </c>
      <c r="AH270" t="s">
        <v>863</v>
      </c>
      <c r="AI270">
        <v>540</v>
      </c>
      <c r="AJ270" t="s">
        <v>511</v>
      </c>
      <c r="AK270" s="2">
        <v>46220</v>
      </c>
      <c r="AL270" s="2">
        <v>46241</v>
      </c>
      <c r="AM270" s="3">
        <v>40000</v>
      </c>
      <c r="AN270" t="s">
        <v>16</v>
      </c>
      <c r="AO270" s="3">
        <v>40000</v>
      </c>
      <c r="AP270" t="s">
        <v>864</v>
      </c>
      <c r="AR270" t="s">
        <v>849</v>
      </c>
      <c r="AU270" t="s">
        <v>865</v>
      </c>
    </row>
    <row r="271" spans="1:47" x14ac:dyDescent="0.25">
      <c r="A271" s="1">
        <v>2733768</v>
      </c>
      <c r="B271" t="s">
        <v>14</v>
      </c>
      <c r="C271">
        <v>530</v>
      </c>
      <c r="D271" t="s">
        <v>15</v>
      </c>
      <c r="E271" s="2">
        <v>46241</v>
      </c>
      <c r="F271" s="2">
        <v>46241</v>
      </c>
      <c r="G271" s="3">
        <v>44000</v>
      </c>
      <c r="H271" t="s">
        <v>16</v>
      </c>
      <c r="I271" s="3">
        <v>44000</v>
      </c>
      <c r="J271" t="s">
        <v>17</v>
      </c>
      <c r="K271" t="s">
        <v>4</v>
      </c>
      <c r="L271" t="s">
        <v>5</v>
      </c>
      <c r="M271" t="s">
        <v>6</v>
      </c>
      <c r="N271" t="s">
        <v>7</v>
      </c>
      <c r="O271" t="s">
        <v>18</v>
      </c>
      <c r="Q271" t="b">
        <f t="shared" si="60"/>
        <v>1</v>
      </c>
      <c r="R271" t="b">
        <f t="shared" si="61"/>
        <v>1</v>
      </c>
      <c r="S271" t="b">
        <f t="shared" si="62"/>
        <v>1</v>
      </c>
      <c r="T271" t="b">
        <f t="shared" si="63"/>
        <v>1</v>
      </c>
      <c r="U271" t="b">
        <f t="shared" si="64"/>
        <v>1</v>
      </c>
      <c r="V271" t="b">
        <f t="shared" si="65"/>
        <v>1</v>
      </c>
      <c r="W271" t="b">
        <f t="shared" si="66"/>
        <v>1</v>
      </c>
      <c r="X271" t="b">
        <f t="shared" si="67"/>
        <v>1</v>
      </c>
      <c r="Y271" t="b">
        <f t="shared" si="68"/>
        <v>1</v>
      </c>
      <c r="Z271" t="b">
        <f t="shared" si="69"/>
        <v>1</v>
      </c>
      <c r="AA271" t="b">
        <f t="shared" si="70"/>
        <v>1</v>
      </c>
      <c r="AB271" t="b">
        <f t="shared" si="71"/>
        <v>1</v>
      </c>
      <c r="AC271" t="b">
        <f t="shared" si="72"/>
        <v>1</v>
      </c>
      <c r="AD271" t="b">
        <f t="shared" si="73"/>
        <v>1</v>
      </c>
      <c r="AE271" t="b">
        <f t="shared" si="74"/>
        <v>1</v>
      </c>
      <c r="AG271" s="1">
        <v>2733768</v>
      </c>
      <c r="AH271" t="s">
        <v>510</v>
      </c>
      <c r="AI271">
        <v>530</v>
      </c>
      <c r="AJ271" t="s">
        <v>511</v>
      </c>
      <c r="AK271" s="2">
        <v>46241</v>
      </c>
      <c r="AL271" s="2">
        <v>46241</v>
      </c>
      <c r="AM271" s="3">
        <v>44000</v>
      </c>
      <c r="AN271" t="s">
        <v>16</v>
      </c>
      <c r="AO271" s="3">
        <v>44000</v>
      </c>
      <c r="AP271" t="s">
        <v>512</v>
      </c>
      <c r="AR271" t="s">
        <v>505</v>
      </c>
      <c r="AU271" t="s">
        <v>513</v>
      </c>
    </row>
    <row r="272" spans="1:47" x14ac:dyDescent="0.25">
      <c r="A272" s="1">
        <v>2642450</v>
      </c>
      <c r="B272" t="s">
        <v>331</v>
      </c>
      <c r="C272">
        <v>540</v>
      </c>
      <c r="D272" t="s">
        <v>1</v>
      </c>
      <c r="E272" s="2">
        <v>46244</v>
      </c>
      <c r="F272" s="2">
        <v>46244</v>
      </c>
      <c r="G272" s="3">
        <v>18</v>
      </c>
      <c r="H272" t="s">
        <v>11</v>
      </c>
      <c r="I272" s="3">
        <v>0</v>
      </c>
      <c r="J272" t="s">
        <v>356</v>
      </c>
      <c r="K272" t="s">
        <v>4</v>
      </c>
      <c r="L272" t="s">
        <v>22</v>
      </c>
      <c r="M272" t="s">
        <v>6</v>
      </c>
      <c r="N272" t="s">
        <v>7</v>
      </c>
      <c r="O272" t="s">
        <v>7</v>
      </c>
      <c r="Q272" t="b">
        <f t="shared" si="60"/>
        <v>1</v>
      </c>
      <c r="R272" t="b">
        <f t="shared" si="61"/>
        <v>1</v>
      </c>
      <c r="S272" t="b">
        <f t="shared" si="62"/>
        <v>1</v>
      </c>
      <c r="T272" t="b">
        <f t="shared" si="63"/>
        <v>1</v>
      </c>
      <c r="U272" t="b">
        <f t="shared" si="64"/>
        <v>1</v>
      </c>
      <c r="V272" t="b">
        <f t="shared" si="65"/>
        <v>1</v>
      </c>
      <c r="W272" t="b">
        <f t="shared" si="66"/>
        <v>1</v>
      </c>
      <c r="X272" t="b">
        <f t="shared" si="67"/>
        <v>1</v>
      </c>
      <c r="Y272" t="b">
        <f t="shared" si="68"/>
        <v>1</v>
      </c>
      <c r="Z272" t="b">
        <f t="shared" si="69"/>
        <v>1</v>
      </c>
      <c r="AA272" t="b">
        <f t="shared" si="70"/>
        <v>1</v>
      </c>
      <c r="AB272" t="b">
        <f t="shared" si="71"/>
        <v>1</v>
      </c>
      <c r="AC272" t="b">
        <f t="shared" si="72"/>
        <v>1</v>
      </c>
      <c r="AD272" t="b">
        <f t="shared" si="73"/>
        <v>1</v>
      </c>
      <c r="AE272" t="b">
        <f t="shared" si="74"/>
        <v>1</v>
      </c>
      <c r="AG272" s="1">
        <v>2642450</v>
      </c>
      <c r="AH272" t="s">
        <v>331</v>
      </c>
      <c r="AI272">
        <v>540</v>
      </c>
      <c r="AJ272" t="s">
        <v>503</v>
      </c>
      <c r="AK272" s="2">
        <v>46244</v>
      </c>
      <c r="AL272" s="2">
        <v>46244</v>
      </c>
      <c r="AM272" s="3">
        <v>18</v>
      </c>
      <c r="AN272" t="s">
        <v>11</v>
      </c>
      <c r="AO272" s="3">
        <v>0</v>
      </c>
      <c r="AP272" t="s">
        <v>826</v>
      </c>
      <c r="AR272" t="s">
        <v>516</v>
      </c>
    </row>
    <row r="273" spans="1:47" x14ac:dyDescent="0.25">
      <c r="A273" s="1">
        <v>2665349</v>
      </c>
      <c r="B273" t="s">
        <v>93</v>
      </c>
      <c r="C273">
        <v>540</v>
      </c>
      <c r="D273" t="s">
        <v>1</v>
      </c>
      <c r="E273" s="2">
        <v>46244</v>
      </c>
      <c r="F273" s="2">
        <v>46244</v>
      </c>
      <c r="G273" s="3">
        <v>24</v>
      </c>
      <c r="H273" t="s">
        <v>20</v>
      </c>
      <c r="I273" s="3">
        <v>10800</v>
      </c>
      <c r="J273" t="s">
        <v>107</v>
      </c>
      <c r="K273" t="s">
        <v>4</v>
      </c>
      <c r="L273" t="s">
        <v>37</v>
      </c>
      <c r="M273" t="s">
        <v>6</v>
      </c>
      <c r="N273" t="s">
        <v>7</v>
      </c>
      <c r="O273" t="s">
        <v>7</v>
      </c>
      <c r="Q273" t="b">
        <f t="shared" si="60"/>
        <v>1</v>
      </c>
      <c r="R273" t="b">
        <f t="shared" si="61"/>
        <v>1</v>
      </c>
      <c r="S273" t="b">
        <f t="shared" si="62"/>
        <v>1</v>
      </c>
      <c r="T273" t="b">
        <f t="shared" si="63"/>
        <v>1</v>
      </c>
      <c r="U273" t="b">
        <f t="shared" si="64"/>
        <v>1</v>
      </c>
      <c r="V273" t="b">
        <f t="shared" si="65"/>
        <v>1</v>
      </c>
      <c r="W273" t="b">
        <f t="shared" si="66"/>
        <v>1</v>
      </c>
      <c r="X273" t="b">
        <f t="shared" si="67"/>
        <v>1</v>
      </c>
      <c r="Y273" t="b">
        <f t="shared" si="68"/>
        <v>1</v>
      </c>
      <c r="Z273" t="b">
        <f t="shared" si="69"/>
        <v>1</v>
      </c>
      <c r="AA273" t="b">
        <f t="shared" si="70"/>
        <v>1</v>
      </c>
      <c r="AB273" t="b">
        <f t="shared" si="71"/>
        <v>1</v>
      </c>
      <c r="AC273" t="b">
        <f t="shared" si="72"/>
        <v>1</v>
      </c>
      <c r="AD273" t="b">
        <f t="shared" si="73"/>
        <v>1</v>
      </c>
      <c r="AE273" t="b">
        <f t="shared" si="74"/>
        <v>1</v>
      </c>
      <c r="AG273" s="1">
        <v>2665349</v>
      </c>
      <c r="AH273" t="s">
        <v>580</v>
      </c>
      <c r="AI273">
        <v>540</v>
      </c>
      <c r="AJ273" t="s">
        <v>503</v>
      </c>
      <c r="AK273" s="2">
        <v>46244</v>
      </c>
      <c r="AL273" s="2">
        <v>46244</v>
      </c>
      <c r="AM273" s="3">
        <v>24</v>
      </c>
      <c r="AN273" t="s">
        <v>20</v>
      </c>
      <c r="AO273" s="3">
        <v>10800</v>
      </c>
      <c r="AP273" t="s">
        <v>594</v>
      </c>
      <c r="AR273" t="s">
        <v>528</v>
      </c>
    </row>
    <row r="274" spans="1:47" x14ac:dyDescent="0.25">
      <c r="A274" s="1">
        <v>2668916</v>
      </c>
      <c r="B274" t="s">
        <v>287</v>
      </c>
      <c r="C274">
        <v>540</v>
      </c>
      <c r="D274" t="s">
        <v>1</v>
      </c>
      <c r="E274" s="2">
        <v>46244</v>
      </c>
      <c r="F274" s="2">
        <v>46244</v>
      </c>
      <c r="G274" s="3">
        <v>12</v>
      </c>
      <c r="H274" t="s">
        <v>20</v>
      </c>
      <c r="I274" s="3">
        <v>5400</v>
      </c>
      <c r="J274" t="s">
        <v>105</v>
      </c>
      <c r="K274" t="s">
        <v>4</v>
      </c>
      <c r="L274" t="s">
        <v>30</v>
      </c>
      <c r="M274" t="s">
        <v>6</v>
      </c>
      <c r="N274" t="s">
        <v>231</v>
      </c>
      <c r="O274" t="s">
        <v>7</v>
      </c>
      <c r="Q274" t="b">
        <f t="shared" si="60"/>
        <v>1</v>
      </c>
      <c r="R274" t="b">
        <f t="shared" si="61"/>
        <v>1</v>
      </c>
      <c r="S274" t="b">
        <f t="shared" si="62"/>
        <v>1</v>
      </c>
      <c r="T274" t="b">
        <f t="shared" si="63"/>
        <v>1</v>
      </c>
      <c r="U274" t="b">
        <f t="shared" si="64"/>
        <v>1</v>
      </c>
      <c r="V274" t="b">
        <f t="shared" si="65"/>
        <v>1</v>
      </c>
      <c r="W274" t="b">
        <f t="shared" si="66"/>
        <v>1</v>
      </c>
      <c r="X274" t="b">
        <f t="shared" si="67"/>
        <v>1</v>
      </c>
      <c r="Y274" t="b">
        <f t="shared" si="68"/>
        <v>1</v>
      </c>
      <c r="Z274" t="b">
        <f t="shared" si="69"/>
        <v>1</v>
      </c>
      <c r="AA274" t="b">
        <f t="shared" si="70"/>
        <v>1</v>
      </c>
      <c r="AB274" t="b">
        <f t="shared" si="71"/>
        <v>1</v>
      </c>
      <c r="AC274" t="b">
        <f t="shared" si="72"/>
        <v>1</v>
      </c>
      <c r="AD274" t="b">
        <f t="shared" si="73"/>
        <v>1</v>
      </c>
      <c r="AE274" t="b">
        <f t="shared" si="74"/>
        <v>1</v>
      </c>
      <c r="AG274" s="1">
        <v>2668916</v>
      </c>
      <c r="AH274" t="s">
        <v>763</v>
      </c>
      <c r="AI274">
        <v>540</v>
      </c>
      <c r="AJ274" t="s">
        <v>503</v>
      </c>
      <c r="AK274" s="2">
        <v>46244</v>
      </c>
      <c r="AL274" s="2">
        <v>46244</v>
      </c>
      <c r="AM274" s="3">
        <v>12</v>
      </c>
      <c r="AN274" t="s">
        <v>20</v>
      </c>
      <c r="AO274" s="3">
        <v>5400</v>
      </c>
      <c r="AP274" t="s">
        <v>592</v>
      </c>
      <c r="AR274" t="s">
        <v>521</v>
      </c>
      <c r="AT274" t="s">
        <v>710</v>
      </c>
    </row>
    <row r="275" spans="1:47" x14ac:dyDescent="0.25">
      <c r="A275" s="1">
        <v>2700363</v>
      </c>
      <c r="B275" t="s">
        <v>396</v>
      </c>
      <c r="C275">
        <v>540</v>
      </c>
      <c r="D275" t="s">
        <v>1</v>
      </c>
      <c r="E275" s="2">
        <v>46244</v>
      </c>
      <c r="F275" s="2">
        <v>46244</v>
      </c>
      <c r="G275" s="3">
        <v>3</v>
      </c>
      <c r="H275" t="s">
        <v>20</v>
      </c>
      <c r="I275" s="3">
        <v>1425</v>
      </c>
      <c r="J275" t="s">
        <v>397</v>
      </c>
      <c r="K275" t="s">
        <v>4</v>
      </c>
      <c r="L275" t="s">
        <v>108</v>
      </c>
      <c r="M275" t="s">
        <v>6</v>
      </c>
      <c r="N275" t="s">
        <v>7</v>
      </c>
      <c r="O275" t="s">
        <v>7</v>
      </c>
      <c r="Q275" t="b">
        <f t="shared" si="60"/>
        <v>1</v>
      </c>
      <c r="R275" t="b">
        <f t="shared" si="61"/>
        <v>1</v>
      </c>
      <c r="S275" t="b">
        <f t="shared" si="62"/>
        <v>1</v>
      </c>
      <c r="T275" t="b">
        <f t="shared" si="63"/>
        <v>1</v>
      </c>
      <c r="U275" t="b">
        <f t="shared" si="64"/>
        <v>1</v>
      </c>
      <c r="V275" t="b">
        <f t="shared" si="65"/>
        <v>1</v>
      </c>
      <c r="W275" t="b">
        <f t="shared" si="66"/>
        <v>1</v>
      </c>
      <c r="X275" t="b">
        <f t="shared" si="67"/>
        <v>1</v>
      </c>
      <c r="Y275" t="b">
        <f t="shared" si="68"/>
        <v>1</v>
      </c>
      <c r="Z275" t="b">
        <f t="shared" si="69"/>
        <v>1</v>
      </c>
      <c r="AA275" t="b">
        <f t="shared" si="70"/>
        <v>1</v>
      </c>
      <c r="AB275" t="b">
        <f t="shared" si="71"/>
        <v>1</v>
      </c>
      <c r="AC275" t="b">
        <f t="shared" si="72"/>
        <v>1</v>
      </c>
      <c r="AD275" t="b">
        <f t="shared" si="73"/>
        <v>1</v>
      </c>
      <c r="AE275" t="b">
        <f t="shared" si="74"/>
        <v>1</v>
      </c>
      <c r="AG275" s="1">
        <v>2700363</v>
      </c>
      <c r="AH275" t="s">
        <v>866</v>
      </c>
      <c r="AI275">
        <v>540</v>
      </c>
      <c r="AJ275" t="s">
        <v>503</v>
      </c>
      <c r="AK275" s="2">
        <v>46244</v>
      </c>
      <c r="AL275" s="2">
        <v>46244</v>
      </c>
      <c r="AM275" s="3">
        <v>3</v>
      </c>
      <c r="AN275" t="s">
        <v>20</v>
      </c>
      <c r="AO275" s="3">
        <v>1425</v>
      </c>
      <c r="AP275" t="s">
        <v>867</v>
      </c>
      <c r="AR275" t="s">
        <v>595</v>
      </c>
    </row>
    <row r="276" spans="1:47" x14ac:dyDescent="0.25">
      <c r="A276" s="1">
        <v>2719479</v>
      </c>
      <c r="B276" t="s">
        <v>398</v>
      </c>
      <c r="C276">
        <v>540</v>
      </c>
      <c r="D276" t="s">
        <v>1</v>
      </c>
      <c r="E276" s="2">
        <v>46244</v>
      </c>
      <c r="F276" s="2">
        <v>46244</v>
      </c>
      <c r="G276" s="3">
        <v>12</v>
      </c>
      <c r="H276" t="s">
        <v>20</v>
      </c>
      <c r="I276" s="3">
        <v>5700</v>
      </c>
      <c r="J276" t="s">
        <v>399</v>
      </c>
      <c r="K276" t="s">
        <v>4</v>
      </c>
      <c r="L276" t="s">
        <v>37</v>
      </c>
      <c r="M276" t="s">
        <v>6</v>
      </c>
      <c r="N276" t="s">
        <v>7</v>
      </c>
      <c r="O276" t="s">
        <v>7</v>
      </c>
      <c r="Q276" t="b">
        <f t="shared" si="60"/>
        <v>1</v>
      </c>
      <c r="R276" t="b">
        <f t="shared" si="61"/>
        <v>1</v>
      </c>
      <c r="S276" t="b">
        <f t="shared" si="62"/>
        <v>1</v>
      </c>
      <c r="T276" t="b">
        <f t="shared" si="63"/>
        <v>1</v>
      </c>
      <c r="U276" t="b">
        <f t="shared" si="64"/>
        <v>1</v>
      </c>
      <c r="V276" t="b">
        <f t="shared" si="65"/>
        <v>1</v>
      </c>
      <c r="W276" t="b">
        <f t="shared" si="66"/>
        <v>1</v>
      </c>
      <c r="X276" t="b">
        <f t="shared" si="67"/>
        <v>1</v>
      </c>
      <c r="Y276" t="b">
        <f t="shared" si="68"/>
        <v>1</v>
      </c>
      <c r="Z276" t="b">
        <f t="shared" si="69"/>
        <v>1</v>
      </c>
      <c r="AA276" t="b">
        <f t="shared" si="70"/>
        <v>1</v>
      </c>
      <c r="AB276" t="b">
        <f t="shared" si="71"/>
        <v>1</v>
      </c>
      <c r="AC276" t="b">
        <f t="shared" si="72"/>
        <v>1</v>
      </c>
      <c r="AD276" t="b">
        <f t="shared" si="73"/>
        <v>1</v>
      </c>
      <c r="AE276" t="b">
        <f t="shared" si="74"/>
        <v>1</v>
      </c>
      <c r="AG276" s="1">
        <v>2719479</v>
      </c>
      <c r="AH276" t="s">
        <v>868</v>
      </c>
      <c r="AI276">
        <v>540</v>
      </c>
      <c r="AJ276" t="s">
        <v>503</v>
      </c>
      <c r="AK276" s="2">
        <v>46244</v>
      </c>
      <c r="AL276" s="2">
        <v>46244</v>
      </c>
      <c r="AM276" s="3">
        <v>12</v>
      </c>
      <c r="AN276" t="s">
        <v>20</v>
      </c>
      <c r="AO276" s="3">
        <v>5700</v>
      </c>
      <c r="AP276" t="s">
        <v>869</v>
      </c>
      <c r="AR276" t="s">
        <v>528</v>
      </c>
    </row>
    <row r="277" spans="1:47" x14ac:dyDescent="0.25">
      <c r="A277" s="1">
        <v>2642451</v>
      </c>
      <c r="B277" t="s">
        <v>331</v>
      </c>
      <c r="C277">
        <v>540</v>
      </c>
      <c r="D277" t="s">
        <v>1</v>
      </c>
      <c r="E277" s="2">
        <v>46245</v>
      </c>
      <c r="F277" s="2">
        <v>46245</v>
      </c>
      <c r="G277" s="3">
        <v>18</v>
      </c>
      <c r="H277" t="s">
        <v>11</v>
      </c>
      <c r="I277" s="3">
        <v>0</v>
      </c>
      <c r="J277" t="s">
        <v>356</v>
      </c>
      <c r="K277" t="s">
        <v>4</v>
      </c>
      <c r="L277" t="s">
        <v>22</v>
      </c>
      <c r="M277" t="s">
        <v>6</v>
      </c>
      <c r="N277" t="s">
        <v>7</v>
      </c>
      <c r="O277" t="s">
        <v>7</v>
      </c>
      <c r="Q277" t="b">
        <f t="shared" si="60"/>
        <v>1</v>
      </c>
      <c r="R277" t="b">
        <f t="shared" si="61"/>
        <v>1</v>
      </c>
      <c r="S277" t="b">
        <f t="shared" si="62"/>
        <v>1</v>
      </c>
      <c r="T277" t="b">
        <f t="shared" si="63"/>
        <v>1</v>
      </c>
      <c r="U277" t="b">
        <f t="shared" si="64"/>
        <v>1</v>
      </c>
      <c r="V277" t="b">
        <f t="shared" si="65"/>
        <v>1</v>
      </c>
      <c r="W277" t="b">
        <f t="shared" si="66"/>
        <v>1</v>
      </c>
      <c r="X277" t="b">
        <f t="shared" si="67"/>
        <v>1</v>
      </c>
      <c r="Y277" t="b">
        <f t="shared" si="68"/>
        <v>1</v>
      </c>
      <c r="Z277" t="b">
        <f t="shared" si="69"/>
        <v>1</v>
      </c>
      <c r="AA277" t="b">
        <f t="shared" si="70"/>
        <v>1</v>
      </c>
      <c r="AB277" t="b">
        <f t="shared" si="71"/>
        <v>1</v>
      </c>
      <c r="AC277" t="b">
        <f t="shared" si="72"/>
        <v>1</v>
      </c>
      <c r="AD277" t="b">
        <f t="shared" si="73"/>
        <v>1</v>
      </c>
      <c r="AE277" t="b">
        <f t="shared" si="74"/>
        <v>1</v>
      </c>
      <c r="AG277" s="1">
        <v>2642451</v>
      </c>
      <c r="AH277" t="s">
        <v>331</v>
      </c>
      <c r="AI277">
        <v>540</v>
      </c>
      <c r="AJ277" t="s">
        <v>503</v>
      </c>
      <c r="AK277" s="2">
        <v>46245</v>
      </c>
      <c r="AL277" s="2">
        <v>46245</v>
      </c>
      <c r="AM277" s="3">
        <v>18</v>
      </c>
      <c r="AN277" t="s">
        <v>11</v>
      </c>
      <c r="AO277" s="3">
        <v>0</v>
      </c>
      <c r="AP277" t="s">
        <v>826</v>
      </c>
      <c r="AR277" t="s">
        <v>516</v>
      </c>
    </row>
    <row r="278" spans="1:47" x14ac:dyDescent="0.25">
      <c r="A278" s="1">
        <v>2687603</v>
      </c>
      <c r="B278" t="s">
        <v>400</v>
      </c>
      <c r="C278">
        <v>540</v>
      </c>
      <c r="D278" t="s">
        <v>1</v>
      </c>
      <c r="E278" s="2">
        <v>46245</v>
      </c>
      <c r="F278" s="2">
        <v>46245</v>
      </c>
      <c r="G278" s="3">
        <v>36</v>
      </c>
      <c r="H278" t="s">
        <v>20</v>
      </c>
      <c r="I278" s="3">
        <v>16200</v>
      </c>
      <c r="J278" t="s">
        <v>401</v>
      </c>
      <c r="K278" t="s">
        <v>4</v>
      </c>
      <c r="L278" t="s">
        <v>37</v>
      </c>
      <c r="M278" t="s">
        <v>6</v>
      </c>
      <c r="N278" t="s">
        <v>7</v>
      </c>
      <c r="O278" t="s">
        <v>7</v>
      </c>
      <c r="Q278" t="b">
        <f t="shared" si="60"/>
        <v>1</v>
      </c>
      <c r="R278" t="b">
        <f t="shared" si="61"/>
        <v>1</v>
      </c>
      <c r="S278" t="b">
        <f t="shared" si="62"/>
        <v>1</v>
      </c>
      <c r="T278" t="b">
        <f t="shared" si="63"/>
        <v>1</v>
      </c>
      <c r="U278" t="b">
        <f t="shared" si="64"/>
        <v>1</v>
      </c>
      <c r="V278" t="b">
        <f t="shared" si="65"/>
        <v>1</v>
      </c>
      <c r="W278" t="b">
        <f t="shared" si="66"/>
        <v>1</v>
      </c>
      <c r="X278" t="b">
        <f t="shared" si="67"/>
        <v>1</v>
      </c>
      <c r="Y278" t="b">
        <f t="shared" si="68"/>
        <v>1</v>
      </c>
      <c r="Z278" t="b">
        <f t="shared" si="69"/>
        <v>1</v>
      </c>
      <c r="AA278" t="b">
        <f t="shared" si="70"/>
        <v>1</v>
      </c>
      <c r="AB278" t="b">
        <f t="shared" si="71"/>
        <v>1</v>
      </c>
      <c r="AC278" t="b">
        <f t="shared" si="72"/>
        <v>1</v>
      </c>
      <c r="AD278" t="b">
        <f t="shared" si="73"/>
        <v>1</v>
      </c>
      <c r="AE278" t="b">
        <f t="shared" si="74"/>
        <v>1</v>
      </c>
      <c r="AG278" s="1">
        <v>2687603</v>
      </c>
      <c r="AH278" t="s">
        <v>870</v>
      </c>
      <c r="AI278">
        <v>540</v>
      </c>
      <c r="AJ278" t="s">
        <v>503</v>
      </c>
      <c r="AK278" s="2">
        <v>46245</v>
      </c>
      <c r="AL278" s="2">
        <v>46245</v>
      </c>
      <c r="AM278" s="3">
        <v>36</v>
      </c>
      <c r="AN278" t="s">
        <v>20</v>
      </c>
      <c r="AO278" s="3">
        <v>16200</v>
      </c>
      <c r="AP278" t="s">
        <v>871</v>
      </c>
      <c r="AR278" t="s">
        <v>528</v>
      </c>
    </row>
    <row r="279" spans="1:47" x14ac:dyDescent="0.25">
      <c r="A279" s="1">
        <v>2708149</v>
      </c>
      <c r="B279" t="s">
        <v>402</v>
      </c>
      <c r="C279">
        <v>540</v>
      </c>
      <c r="D279" t="s">
        <v>1</v>
      </c>
      <c r="E279" s="2">
        <v>46245</v>
      </c>
      <c r="F279" s="2">
        <v>46245</v>
      </c>
      <c r="G279" s="3">
        <v>13</v>
      </c>
      <c r="H279" t="s">
        <v>11</v>
      </c>
      <c r="I279" s="3">
        <v>35100</v>
      </c>
      <c r="J279" t="s">
        <v>403</v>
      </c>
      <c r="K279" t="s">
        <v>4</v>
      </c>
      <c r="L279" t="s">
        <v>30</v>
      </c>
      <c r="M279" t="s">
        <v>6</v>
      </c>
      <c r="N279" t="s">
        <v>7</v>
      </c>
      <c r="O279" t="s">
        <v>404</v>
      </c>
      <c r="Q279" t="b">
        <f t="shared" si="60"/>
        <v>1</v>
      </c>
      <c r="R279" t="b">
        <f t="shared" si="61"/>
        <v>1</v>
      </c>
      <c r="S279" t="b">
        <f t="shared" si="62"/>
        <v>1</v>
      </c>
      <c r="T279" t="b">
        <f t="shared" si="63"/>
        <v>1</v>
      </c>
      <c r="U279" t="b">
        <f t="shared" si="64"/>
        <v>1</v>
      </c>
      <c r="V279" t="b">
        <f t="shared" si="65"/>
        <v>1</v>
      </c>
      <c r="W279" t="b">
        <f t="shared" si="66"/>
        <v>1</v>
      </c>
      <c r="X279" t="b">
        <f t="shared" si="67"/>
        <v>1</v>
      </c>
      <c r="Y279" t="b">
        <f t="shared" si="68"/>
        <v>1</v>
      </c>
      <c r="Z279" t="b">
        <f t="shared" si="69"/>
        <v>1</v>
      </c>
      <c r="AA279" t="b">
        <f t="shared" si="70"/>
        <v>1</v>
      </c>
      <c r="AB279" t="b">
        <f t="shared" si="71"/>
        <v>1</v>
      </c>
      <c r="AC279" t="b">
        <f t="shared" si="72"/>
        <v>1</v>
      </c>
      <c r="AD279" t="b">
        <f t="shared" si="73"/>
        <v>1</v>
      </c>
      <c r="AE279" t="b">
        <f t="shared" si="74"/>
        <v>1</v>
      </c>
      <c r="AG279" s="1">
        <v>2708149</v>
      </c>
      <c r="AH279" t="s">
        <v>872</v>
      </c>
      <c r="AI279">
        <v>540</v>
      </c>
      <c r="AJ279" t="s">
        <v>503</v>
      </c>
      <c r="AK279" s="2">
        <v>46245</v>
      </c>
      <c r="AL279" s="2">
        <v>46245</v>
      </c>
      <c r="AM279" s="3">
        <v>13</v>
      </c>
      <c r="AN279" t="s">
        <v>11</v>
      </c>
      <c r="AO279" s="3">
        <v>35100</v>
      </c>
      <c r="AP279" t="s">
        <v>873</v>
      </c>
      <c r="AR279" t="s">
        <v>521</v>
      </c>
      <c r="AU279" t="s">
        <v>874</v>
      </c>
    </row>
    <row r="280" spans="1:47" x14ac:dyDescent="0.25">
      <c r="A280" s="1">
        <v>2727125</v>
      </c>
      <c r="B280" t="s">
        <v>405</v>
      </c>
      <c r="C280">
        <v>540</v>
      </c>
      <c r="D280" t="s">
        <v>1</v>
      </c>
      <c r="E280" s="2">
        <v>46245</v>
      </c>
      <c r="F280" s="2">
        <v>46245</v>
      </c>
      <c r="G280" s="3">
        <v>2</v>
      </c>
      <c r="H280" t="s">
        <v>20</v>
      </c>
      <c r="I280" s="3">
        <v>0</v>
      </c>
      <c r="J280" t="s">
        <v>211</v>
      </c>
      <c r="K280" t="s">
        <v>4</v>
      </c>
      <c r="L280" t="s">
        <v>37</v>
      </c>
      <c r="M280" t="s">
        <v>6</v>
      </c>
      <c r="N280" t="s">
        <v>7</v>
      </c>
      <c r="O280" t="s">
        <v>65</v>
      </c>
      <c r="Q280" t="b">
        <f t="shared" si="60"/>
        <v>1</v>
      </c>
      <c r="R280" t="b">
        <f t="shared" si="61"/>
        <v>1</v>
      </c>
      <c r="S280" t="b">
        <f t="shared" si="62"/>
        <v>1</v>
      </c>
      <c r="T280" t="b">
        <f t="shared" si="63"/>
        <v>1</v>
      </c>
      <c r="U280" t="b">
        <f t="shared" si="64"/>
        <v>1</v>
      </c>
      <c r="V280" t="b">
        <f t="shared" si="65"/>
        <v>1</v>
      </c>
      <c r="W280" t="b">
        <f t="shared" si="66"/>
        <v>1</v>
      </c>
      <c r="X280" t="b">
        <f t="shared" si="67"/>
        <v>1</v>
      </c>
      <c r="Y280" t="b">
        <f t="shared" si="68"/>
        <v>1</v>
      </c>
      <c r="Z280" t="b">
        <f t="shared" si="69"/>
        <v>1</v>
      </c>
      <c r="AA280" t="b">
        <f t="shared" si="70"/>
        <v>1</v>
      </c>
      <c r="AB280" t="b">
        <f t="shared" si="71"/>
        <v>1</v>
      </c>
      <c r="AC280" t="b">
        <f t="shared" si="72"/>
        <v>1</v>
      </c>
      <c r="AD280" t="b">
        <f t="shared" si="73"/>
        <v>1</v>
      </c>
      <c r="AE280" t="b">
        <f t="shared" si="74"/>
        <v>1</v>
      </c>
      <c r="AG280" s="1">
        <v>2727125</v>
      </c>
      <c r="AH280" t="s">
        <v>875</v>
      </c>
      <c r="AI280">
        <v>540</v>
      </c>
      <c r="AJ280" t="s">
        <v>503</v>
      </c>
      <c r="AK280" s="2">
        <v>46245</v>
      </c>
      <c r="AL280" s="2">
        <v>46245</v>
      </c>
      <c r="AM280" s="3">
        <v>2</v>
      </c>
      <c r="AN280" t="s">
        <v>20</v>
      </c>
      <c r="AO280" s="3">
        <v>0</v>
      </c>
      <c r="AP280" t="s">
        <v>692</v>
      </c>
      <c r="AR280" t="s">
        <v>528</v>
      </c>
      <c r="AU280" t="s">
        <v>553</v>
      </c>
    </row>
    <row r="281" spans="1:47" x14ac:dyDescent="0.25">
      <c r="A281" s="1">
        <v>2728465</v>
      </c>
      <c r="B281" t="s">
        <v>406</v>
      </c>
      <c r="C281">
        <v>540</v>
      </c>
      <c r="D281" t="s">
        <v>1</v>
      </c>
      <c r="E281" s="2">
        <v>46245</v>
      </c>
      <c r="F281" s="2">
        <v>46245</v>
      </c>
      <c r="G281" s="3">
        <v>3</v>
      </c>
      <c r="H281" t="s">
        <v>11</v>
      </c>
      <c r="I281" s="3">
        <v>6600</v>
      </c>
      <c r="J281" t="s">
        <v>407</v>
      </c>
      <c r="K281" t="s">
        <v>4</v>
      </c>
      <c r="L281" t="s">
        <v>30</v>
      </c>
      <c r="M281" t="s">
        <v>6</v>
      </c>
      <c r="N281" t="s">
        <v>7</v>
      </c>
      <c r="O281" t="s">
        <v>7</v>
      </c>
      <c r="Q281" t="b">
        <f t="shared" si="60"/>
        <v>1</v>
      </c>
      <c r="R281" t="b">
        <f t="shared" si="61"/>
        <v>1</v>
      </c>
      <c r="S281" t="b">
        <f t="shared" si="62"/>
        <v>1</v>
      </c>
      <c r="T281" t="b">
        <f t="shared" si="63"/>
        <v>1</v>
      </c>
      <c r="U281" t="b">
        <f t="shared" si="64"/>
        <v>1</v>
      </c>
      <c r="V281" t="b">
        <f t="shared" si="65"/>
        <v>1</v>
      </c>
      <c r="W281" t="b">
        <f t="shared" si="66"/>
        <v>1</v>
      </c>
      <c r="X281" t="b">
        <f t="shared" si="67"/>
        <v>1</v>
      </c>
      <c r="Y281" t="b">
        <f t="shared" si="68"/>
        <v>1</v>
      </c>
      <c r="Z281" t="b">
        <f t="shared" si="69"/>
        <v>1</v>
      </c>
      <c r="AA281" t="b">
        <f t="shared" si="70"/>
        <v>1</v>
      </c>
      <c r="AB281" t="b">
        <f t="shared" si="71"/>
        <v>1</v>
      </c>
      <c r="AC281" t="b">
        <f t="shared" si="72"/>
        <v>1</v>
      </c>
      <c r="AD281" t="b">
        <f t="shared" si="73"/>
        <v>1</v>
      </c>
      <c r="AE281" t="b">
        <f t="shared" si="74"/>
        <v>1</v>
      </c>
      <c r="AG281" s="1">
        <v>2728465</v>
      </c>
      <c r="AH281" t="s">
        <v>876</v>
      </c>
      <c r="AI281">
        <v>540</v>
      </c>
      <c r="AJ281" t="s">
        <v>503</v>
      </c>
      <c r="AK281" s="2">
        <v>46245</v>
      </c>
      <c r="AL281" s="2">
        <v>46245</v>
      </c>
      <c r="AM281" s="3">
        <v>3</v>
      </c>
      <c r="AN281" t="s">
        <v>11</v>
      </c>
      <c r="AO281" s="3">
        <v>6600</v>
      </c>
      <c r="AP281" t="s">
        <v>877</v>
      </c>
      <c r="AR281" t="s">
        <v>521</v>
      </c>
    </row>
    <row r="282" spans="1:47" x14ac:dyDescent="0.25">
      <c r="A282" s="1">
        <v>2728465</v>
      </c>
      <c r="B282" t="s">
        <v>406</v>
      </c>
      <c r="C282">
        <v>540</v>
      </c>
      <c r="D282" t="s">
        <v>1</v>
      </c>
      <c r="E282" s="2">
        <v>46245</v>
      </c>
      <c r="F282" s="2">
        <v>46245</v>
      </c>
      <c r="G282" s="3">
        <v>2</v>
      </c>
      <c r="H282" t="s">
        <v>20</v>
      </c>
      <c r="I282" s="3">
        <v>900</v>
      </c>
      <c r="J282" t="s">
        <v>408</v>
      </c>
      <c r="K282" t="s">
        <v>4</v>
      </c>
      <c r="L282" t="s">
        <v>30</v>
      </c>
      <c r="M282" t="s">
        <v>6</v>
      </c>
      <c r="N282" t="s">
        <v>7</v>
      </c>
      <c r="O282" t="s">
        <v>7</v>
      </c>
      <c r="Q282" t="b">
        <f t="shared" si="60"/>
        <v>1</v>
      </c>
      <c r="R282" t="b">
        <f t="shared" si="61"/>
        <v>1</v>
      </c>
      <c r="S282" t="b">
        <f t="shared" si="62"/>
        <v>1</v>
      </c>
      <c r="T282" t="b">
        <f t="shared" si="63"/>
        <v>1</v>
      </c>
      <c r="U282" t="b">
        <f t="shared" si="64"/>
        <v>1</v>
      </c>
      <c r="V282" t="b">
        <f t="shared" si="65"/>
        <v>1</v>
      </c>
      <c r="W282" t="b">
        <f t="shared" si="66"/>
        <v>1</v>
      </c>
      <c r="X282" t="b">
        <f t="shared" si="67"/>
        <v>1</v>
      </c>
      <c r="Y282" t="b">
        <f t="shared" si="68"/>
        <v>1</v>
      </c>
      <c r="Z282" t="b">
        <f t="shared" si="69"/>
        <v>1</v>
      </c>
      <c r="AA282" t="b">
        <f t="shared" si="70"/>
        <v>1</v>
      </c>
      <c r="AB282" t="b">
        <f t="shared" si="71"/>
        <v>1</v>
      </c>
      <c r="AC282" t="b">
        <f t="shared" si="72"/>
        <v>1</v>
      </c>
      <c r="AD282" t="b">
        <f t="shared" si="73"/>
        <v>1</v>
      </c>
      <c r="AE282" t="b">
        <f t="shared" si="74"/>
        <v>1</v>
      </c>
      <c r="AG282" s="1">
        <v>2728465</v>
      </c>
      <c r="AH282" t="s">
        <v>876</v>
      </c>
      <c r="AI282">
        <v>540</v>
      </c>
      <c r="AJ282" t="s">
        <v>503</v>
      </c>
      <c r="AK282" s="2">
        <v>46245</v>
      </c>
      <c r="AL282" s="2">
        <v>46245</v>
      </c>
      <c r="AM282" s="3">
        <v>2</v>
      </c>
      <c r="AN282" t="s">
        <v>20</v>
      </c>
      <c r="AO282" s="3">
        <v>900</v>
      </c>
      <c r="AP282" t="s">
        <v>878</v>
      </c>
      <c r="AR282" t="s">
        <v>521</v>
      </c>
    </row>
    <row r="283" spans="1:47" x14ac:dyDescent="0.25">
      <c r="A283" s="1">
        <v>2740554</v>
      </c>
      <c r="B283" t="s">
        <v>10</v>
      </c>
      <c r="C283">
        <v>540</v>
      </c>
      <c r="D283" t="s">
        <v>1</v>
      </c>
      <c r="E283" s="2">
        <v>46245</v>
      </c>
      <c r="F283" s="2">
        <v>46245</v>
      </c>
      <c r="G283" s="3">
        <v>18</v>
      </c>
      <c r="H283" t="s">
        <v>11</v>
      </c>
      <c r="I283" s="3">
        <v>39600</v>
      </c>
      <c r="J283" t="s">
        <v>12</v>
      </c>
      <c r="K283" t="s">
        <v>4</v>
      </c>
      <c r="L283" t="s">
        <v>5</v>
      </c>
      <c r="M283" t="s">
        <v>6</v>
      </c>
      <c r="N283" t="s">
        <v>13</v>
      </c>
      <c r="O283" t="s">
        <v>7</v>
      </c>
      <c r="Q283" t="b">
        <f t="shared" si="60"/>
        <v>1</v>
      </c>
      <c r="R283" t="b">
        <f t="shared" si="61"/>
        <v>1</v>
      </c>
      <c r="S283" t="b">
        <f t="shared" si="62"/>
        <v>1</v>
      </c>
      <c r="T283" t="b">
        <f t="shared" si="63"/>
        <v>1</v>
      </c>
      <c r="U283" t="b">
        <f t="shared" si="64"/>
        <v>1</v>
      </c>
      <c r="V283" t="b">
        <f t="shared" si="65"/>
        <v>1</v>
      </c>
      <c r="W283" t="b">
        <f t="shared" si="66"/>
        <v>1</v>
      </c>
      <c r="X283" t="b">
        <f t="shared" si="67"/>
        <v>1</v>
      </c>
      <c r="Y283" t="b">
        <f t="shared" si="68"/>
        <v>1</v>
      </c>
      <c r="Z283" t="b">
        <f t="shared" si="69"/>
        <v>1</v>
      </c>
      <c r="AA283" t="b">
        <f t="shared" si="70"/>
        <v>1</v>
      </c>
      <c r="AB283" t="b">
        <f t="shared" si="71"/>
        <v>1</v>
      </c>
      <c r="AC283" t="b">
        <f t="shared" si="72"/>
        <v>1</v>
      </c>
      <c r="AD283" t="b">
        <f t="shared" si="73"/>
        <v>1</v>
      </c>
      <c r="AE283" t="b">
        <f t="shared" si="74"/>
        <v>1</v>
      </c>
      <c r="AG283" s="1">
        <v>2740554</v>
      </c>
      <c r="AH283" t="s">
        <v>507</v>
      </c>
      <c r="AI283">
        <v>540</v>
      </c>
      <c r="AJ283" t="s">
        <v>503</v>
      </c>
      <c r="AK283" s="2">
        <v>46245</v>
      </c>
      <c r="AL283" s="2">
        <v>46245</v>
      </c>
      <c r="AM283" s="3">
        <v>18</v>
      </c>
      <c r="AN283" t="s">
        <v>11</v>
      </c>
      <c r="AO283" s="3">
        <v>39600</v>
      </c>
      <c r="AP283" t="s">
        <v>508</v>
      </c>
      <c r="AR283" t="s">
        <v>505</v>
      </c>
      <c r="AT283" t="s">
        <v>509</v>
      </c>
    </row>
    <row r="284" spans="1:47" x14ac:dyDescent="0.25">
      <c r="A284" s="1">
        <v>2743388</v>
      </c>
      <c r="B284" t="s">
        <v>248</v>
      </c>
      <c r="C284">
        <v>540</v>
      </c>
      <c r="D284" t="s">
        <v>15</v>
      </c>
      <c r="E284" s="2">
        <v>46245</v>
      </c>
      <c r="F284" s="2">
        <v>46245</v>
      </c>
      <c r="G284" s="3">
        <v>44000</v>
      </c>
      <c r="H284" t="s">
        <v>16</v>
      </c>
      <c r="I284" s="3">
        <v>0</v>
      </c>
      <c r="J284" t="s">
        <v>295</v>
      </c>
      <c r="K284" t="s">
        <v>4</v>
      </c>
      <c r="L284" t="s">
        <v>142</v>
      </c>
      <c r="M284" t="s">
        <v>6</v>
      </c>
      <c r="N284" t="s">
        <v>7</v>
      </c>
      <c r="O284" t="s">
        <v>409</v>
      </c>
      <c r="Q284" t="b">
        <f t="shared" si="60"/>
        <v>1</v>
      </c>
      <c r="R284" t="b">
        <f t="shared" si="61"/>
        <v>1</v>
      </c>
      <c r="S284" t="b">
        <f t="shared" si="62"/>
        <v>1</v>
      </c>
      <c r="T284" t="b">
        <f t="shared" si="63"/>
        <v>1</v>
      </c>
      <c r="U284" t="b">
        <f t="shared" si="64"/>
        <v>1</v>
      </c>
      <c r="V284" t="b">
        <f t="shared" si="65"/>
        <v>1</v>
      </c>
      <c r="W284" t="b">
        <f t="shared" si="66"/>
        <v>1</v>
      </c>
      <c r="X284" t="b">
        <f t="shared" si="67"/>
        <v>1</v>
      </c>
      <c r="Y284" t="b">
        <f t="shared" si="68"/>
        <v>1</v>
      </c>
      <c r="Z284" t="b">
        <f t="shared" si="69"/>
        <v>1</v>
      </c>
      <c r="AA284" t="b">
        <f t="shared" si="70"/>
        <v>1</v>
      </c>
      <c r="AB284" t="b">
        <f t="shared" si="71"/>
        <v>1</v>
      </c>
      <c r="AC284" t="b">
        <f t="shared" si="72"/>
        <v>1</v>
      </c>
      <c r="AD284" t="b">
        <f t="shared" si="73"/>
        <v>1</v>
      </c>
      <c r="AE284" t="b">
        <f t="shared" si="74"/>
        <v>1</v>
      </c>
      <c r="AG284" s="1">
        <v>2743388</v>
      </c>
      <c r="AH284" t="s">
        <v>726</v>
      </c>
      <c r="AI284">
        <v>540</v>
      </c>
      <c r="AJ284" t="s">
        <v>511</v>
      </c>
      <c r="AK284" s="2">
        <v>46245</v>
      </c>
      <c r="AL284" s="2">
        <v>46245</v>
      </c>
      <c r="AM284" s="3">
        <v>44000</v>
      </c>
      <c r="AN284" t="s">
        <v>16</v>
      </c>
      <c r="AO284" s="3">
        <v>0</v>
      </c>
      <c r="AP284" t="s">
        <v>768</v>
      </c>
      <c r="AR284" t="s">
        <v>627</v>
      </c>
      <c r="AU284" t="s">
        <v>879</v>
      </c>
    </row>
    <row r="285" spans="1:47" x14ac:dyDescent="0.25">
      <c r="A285" s="1">
        <v>2744230</v>
      </c>
      <c r="B285" t="s">
        <v>410</v>
      </c>
      <c r="C285">
        <v>530</v>
      </c>
      <c r="D285" t="s">
        <v>1</v>
      </c>
      <c r="E285" s="2">
        <v>46245</v>
      </c>
      <c r="F285" s="2">
        <v>46245</v>
      </c>
      <c r="G285" s="3">
        <v>2</v>
      </c>
      <c r="H285" t="s">
        <v>2</v>
      </c>
      <c r="I285" s="3">
        <v>80</v>
      </c>
      <c r="J285" t="s">
        <v>411</v>
      </c>
      <c r="K285" t="s">
        <v>4</v>
      </c>
      <c r="L285" t="s">
        <v>30</v>
      </c>
      <c r="M285" t="s">
        <v>6</v>
      </c>
      <c r="N285" t="s">
        <v>7</v>
      </c>
      <c r="O285" t="s">
        <v>7</v>
      </c>
      <c r="Q285" t="b">
        <f t="shared" si="60"/>
        <v>1</v>
      </c>
      <c r="R285" t="b">
        <f t="shared" si="61"/>
        <v>1</v>
      </c>
      <c r="S285" t="b">
        <f t="shared" si="62"/>
        <v>1</v>
      </c>
      <c r="T285" t="b">
        <f t="shared" si="63"/>
        <v>1</v>
      </c>
      <c r="U285" t="b">
        <f t="shared" si="64"/>
        <v>1</v>
      </c>
      <c r="V285" t="b">
        <f t="shared" si="65"/>
        <v>1</v>
      </c>
      <c r="W285" t="b">
        <f t="shared" si="66"/>
        <v>1</v>
      </c>
      <c r="X285" t="b">
        <f t="shared" si="67"/>
        <v>1</v>
      </c>
      <c r="Y285" t="b">
        <f t="shared" si="68"/>
        <v>1</v>
      </c>
      <c r="Z285" t="b">
        <f t="shared" si="69"/>
        <v>1</v>
      </c>
      <c r="AA285" t="b">
        <f t="shared" si="70"/>
        <v>1</v>
      </c>
      <c r="AB285" t="b">
        <f t="shared" si="71"/>
        <v>1</v>
      </c>
      <c r="AC285" t="b">
        <f t="shared" si="72"/>
        <v>1</v>
      </c>
      <c r="AD285" t="b">
        <f t="shared" si="73"/>
        <v>1</v>
      </c>
      <c r="AE285" t="b">
        <f t="shared" si="74"/>
        <v>1</v>
      </c>
      <c r="AG285" s="1">
        <v>2744230</v>
      </c>
      <c r="AH285" t="s">
        <v>880</v>
      </c>
      <c r="AI285">
        <v>530</v>
      </c>
      <c r="AJ285" t="s">
        <v>503</v>
      </c>
      <c r="AK285" s="2">
        <v>46245</v>
      </c>
      <c r="AL285" s="2">
        <v>46245</v>
      </c>
      <c r="AM285" s="3">
        <v>2</v>
      </c>
      <c r="AN285" t="s">
        <v>2</v>
      </c>
      <c r="AO285" s="3">
        <v>80</v>
      </c>
      <c r="AP285" t="s">
        <v>881</v>
      </c>
      <c r="AR285" t="s">
        <v>521</v>
      </c>
    </row>
    <row r="286" spans="1:47" x14ac:dyDescent="0.25">
      <c r="A286" s="1">
        <v>2744312</v>
      </c>
      <c r="B286" t="s">
        <v>293</v>
      </c>
      <c r="C286">
        <v>530</v>
      </c>
      <c r="D286" t="s">
        <v>1</v>
      </c>
      <c r="E286" s="2">
        <v>46245</v>
      </c>
      <c r="F286" s="2">
        <v>46245</v>
      </c>
      <c r="G286" s="3">
        <v>5</v>
      </c>
      <c r="H286" t="s">
        <v>11</v>
      </c>
      <c r="I286" s="3">
        <v>11000</v>
      </c>
      <c r="J286" t="s">
        <v>294</v>
      </c>
      <c r="K286" t="s">
        <v>4</v>
      </c>
      <c r="L286" t="s">
        <v>30</v>
      </c>
      <c r="M286" t="s">
        <v>6</v>
      </c>
      <c r="N286" t="s">
        <v>7</v>
      </c>
      <c r="O286" t="s">
        <v>7</v>
      </c>
      <c r="Q286" t="b">
        <f t="shared" si="60"/>
        <v>1</v>
      </c>
      <c r="R286" t="b">
        <f t="shared" si="61"/>
        <v>1</v>
      </c>
      <c r="S286" t="b">
        <f t="shared" si="62"/>
        <v>1</v>
      </c>
      <c r="T286" t="b">
        <f t="shared" si="63"/>
        <v>1</v>
      </c>
      <c r="U286" t="b">
        <f t="shared" si="64"/>
        <v>1</v>
      </c>
      <c r="V286" t="b">
        <f t="shared" si="65"/>
        <v>1</v>
      </c>
      <c r="W286" t="b">
        <f t="shared" si="66"/>
        <v>1</v>
      </c>
      <c r="X286" t="b">
        <f t="shared" si="67"/>
        <v>1</v>
      </c>
      <c r="Y286" t="b">
        <f t="shared" si="68"/>
        <v>1</v>
      </c>
      <c r="Z286" t="b">
        <f t="shared" si="69"/>
        <v>1</v>
      </c>
      <c r="AA286" t="b">
        <f t="shared" si="70"/>
        <v>1</v>
      </c>
      <c r="AB286" t="b">
        <f t="shared" si="71"/>
        <v>1</v>
      </c>
      <c r="AC286" t="b">
        <f t="shared" si="72"/>
        <v>1</v>
      </c>
      <c r="AD286" t="b">
        <f t="shared" si="73"/>
        <v>1</v>
      </c>
      <c r="AE286" t="b">
        <f t="shared" si="74"/>
        <v>1</v>
      </c>
      <c r="AG286" s="1">
        <v>2744312</v>
      </c>
      <c r="AH286" t="s">
        <v>293</v>
      </c>
      <c r="AI286">
        <v>530</v>
      </c>
      <c r="AJ286" t="s">
        <v>503</v>
      </c>
      <c r="AK286" s="2">
        <v>46245</v>
      </c>
      <c r="AL286" s="2">
        <v>46245</v>
      </c>
      <c r="AM286" s="3">
        <v>5</v>
      </c>
      <c r="AN286" t="s">
        <v>11</v>
      </c>
      <c r="AO286" s="3">
        <v>11000</v>
      </c>
      <c r="AP286" t="s">
        <v>767</v>
      </c>
      <c r="AR286" t="s">
        <v>521</v>
      </c>
    </row>
    <row r="287" spans="1:47" x14ac:dyDescent="0.25">
      <c r="A287" s="1">
        <v>2729932</v>
      </c>
      <c r="B287" t="s">
        <v>412</v>
      </c>
      <c r="C287">
        <v>540</v>
      </c>
      <c r="D287" t="s">
        <v>1</v>
      </c>
      <c r="E287" s="2">
        <v>46218</v>
      </c>
      <c r="F287" s="2">
        <v>46246</v>
      </c>
      <c r="G287" s="3">
        <v>4</v>
      </c>
      <c r="H287" t="s">
        <v>20</v>
      </c>
      <c r="I287" s="3">
        <v>1800</v>
      </c>
      <c r="J287" t="s">
        <v>387</v>
      </c>
      <c r="K287" t="s">
        <v>4</v>
      </c>
      <c r="L287" t="s">
        <v>37</v>
      </c>
      <c r="M287" t="s">
        <v>6</v>
      </c>
      <c r="N287" t="s">
        <v>7</v>
      </c>
      <c r="O287" t="s">
        <v>7</v>
      </c>
      <c r="Q287" t="b">
        <f t="shared" si="60"/>
        <v>1</v>
      </c>
      <c r="R287" t="b">
        <f t="shared" si="61"/>
        <v>1</v>
      </c>
      <c r="S287" t="b">
        <f t="shared" si="62"/>
        <v>1</v>
      </c>
      <c r="T287" t="b">
        <f t="shared" si="63"/>
        <v>1</v>
      </c>
      <c r="U287" t="b">
        <f t="shared" si="64"/>
        <v>1</v>
      </c>
      <c r="V287" t="b">
        <f t="shared" si="65"/>
        <v>1</v>
      </c>
      <c r="W287" t="b">
        <f t="shared" si="66"/>
        <v>1</v>
      </c>
      <c r="X287" t="b">
        <f t="shared" si="67"/>
        <v>1</v>
      </c>
      <c r="Y287" t="b">
        <f t="shared" si="68"/>
        <v>1</v>
      </c>
      <c r="Z287" t="b">
        <f t="shared" si="69"/>
        <v>1</v>
      </c>
      <c r="AA287" t="b">
        <f t="shared" si="70"/>
        <v>1</v>
      </c>
      <c r="AB287" t="b">
        <f t="shared" si="71"/>
        <v>1</v>
      </c>
      <c r="AC287" t="b">
        <f t="shared" si="72"/>
        <v>1</v>
      </c>
      <c r="AD287" t="b">
        <f t="shared" si="73"/>
        <v>1</v>
      </c>
      <c r="AE287" t="b">
        <f t="shared" si="74"/>
        <v>1</v>
      </c>
      <c r="AG287" s="1">
        <v>2729932</v>
      </c>
      <c r="AH287" t="s">
        <v>882</v>
      </c>
      <c r="AI287">
        <v>540</v>
      </c>
      <c r="AJ287" t="s">
        <v>503</v>
      </c>
      <c r="AK287" s="2">
        <v>46218</v>
      </c>
      <c r="AL287" s="2">
        <v>46246</v>
      </c>
      <c r="AM287" s="3">
        <v>4</v>
      </c>
      <c r="AN287" t="s">
        <v>20</v>
      </c>
      <c r="AO287" s="3">
        <v>1800</v>
      </c>
      <c r="AP287" t="s">
        <v>857</v>
      </c>
      <c r="AR287" t="s">
        <v>528</v>
      </c>
    </row>
    <row r="288" spans="1:47" x14ac:dyDescent="0.25">
      <c r="A288" s="1">
        <v>2737253</v>
      </c>
      <c r="B288" t="s">
        <v>413</v>
      </c>
      <c r="C288">
        <v>540</v>
      </c>
      <c r="D288" t="s">
        <v>1</v>
      </c>
      <c r="E288" s="2">
        <v>46246</v>
      </c>
      <c r="F288" s="2">
        <v>46246</v>
      </c>
      <c r="G288" s="3">
        <v>1</v>
      </c>
      <c r="H288" t="s">
        <v>11</v>
      </c>
      <c r="I288" s="3">
        <v>2200</v>
      </c>
      <c r="J288" t="s">
        <v>356</v>
      </c>
      <c r="K288" t="s">
        <v>4</v>
      </c>
      <c r="L288" t="s">
        <v>30</v>
      </c>
      <c r="M288" t="s">
        <v>6</v>
      </c>
      <c r="N288" t="s">
        <v>7</v>
      </c>
      <c r="O288" t="s">
        <v>7</v>
      </c>
      <c r="Q288" t="b">
        <f t="shared" si="60"/>
        <v>1</v>
      </c>
      <c r="R288" t="b">
        <f t="shared" si="61"/>
        <v>1</v>
      </c>
      <c r="S288" t="b">
        <f t="shared" si="62"/>
        <v>1</v>
      </c>
      <c r="T288" t="b">
        <f t="shared" si="63"/>
        <v>1</v>
      </c>
      <c r="U288" t="b">
        <f t="shared" si="64"/>
        <v>1</v>
      </c>
      <c r="V288" t="b">
        <f t="shared" si="65"/>
        <v>1</v>
      </c>
      <c r="W288" t="b">
        <f t="shared" si="66"/>
        <v>1</v>
      </c>
      <c r="X288" t="b">
        <f t="shared" si="67"/>
        <v>1</v>
      </c>
      <c r="Y288" t="b">
        <f t="shared" si="68"/>
        <v>1</v>
      </c>
      <c r="Z288" t="b">
        <f t="shared" si="69"/>
        <v>1</v>
      </c>
      <c r="AA288" t="b">
        <f t="shared" si="70"/>
        <v>1</v>
      </c>
      <c r="AB288" t="b">
        <f t="shared" si="71"/>
        <v>1</v>
      </c>
      <c r="AC288" t="b">
        <f t="shared" si="72"/>
        <v>1</v>
      </c>
      <c r="AD288" t="b">
        <f t="shared" si="73"/>
        <v>1</v>
      </c>
      <c r="AE288" t="b">
        <f t="shared" si="74"/>
        <v>1</v>
      </c>
      <c r="AG288" s="1">
        <v>2737253</v>
      </c>
      <c r="AH288" t="s">
        <v>883</v>
      </c>
      <c r="AI288">
        <v>540</v>
      </c>
      <c r="AJ288" t="s">
        <v>503</v>
      </c>
      <c r="AK288" s="2">
        <v>46246</v>
      </c>
      <c r="AL288" s="2">
        <v>46246</v>
      </c>
      <c r="AM288" s="3">
        <v>1</v>
      </c>
      <c r="AN288" t="s">
        <v>11</v>
      </c>
      <c r="AO288" s="3">
        <v>2200</v>
      </c>
      <c r="AP288" t="s">
        <v>826</v>
      </c>
      <c r="AR288" t="s">
        <v>521</v>
      </c>
    </row>
    <row r="289" spans="1:47" x14ac:dyDescent="0.25">
      <c r="A289" s="1">
        <v>2738833</v>
      </c>
      <c r="B289" t="s">
        <v>414</v>
      </c>
      <c r="C289">
        <v>540</v>
      </c>
      <c r="D289" t="s">
        <v>1</v>
      </c>
      <c r="E289" s="2">
        <v>46246</v>
      </c>
      <c r="F289" s="2">
        <v>46246</v>
      </c>
      <c r="G289" s="3">
        <v>4</v>
      </c>
      <c r="H289" t="s">
        <v>20</v>
      </c>
      <c r="I289" s="3">
        <v>0</v>
      </c>
      <c r="J289" t="s">
        <v>415</v>
      </c>
      <c r="K289" t="s">
        <v>4</v>
      </c>
      <c r="L289" t="s">
        <v>30</v>
      </c>
      <c r="M289" t="s">
        <v>6</v>
      </c>
      <c r="N289" t="s">
        <v>416</v>
      </c>
      <c r="O289" t="s">
        <v>7</v>
      </c>
      <c r="Q289" t="b">
        <f t="shared" si="60"/>
        <v>1</v>
      </c>
      <c r="R289" t="b">
        <f t="shared" si="61"/>
        <v>1</v>
      </c>
      <c r="S289" t="b">
        <f t="shared" si="62"/>
        <v>1</v>
      </c>
      <c r="T289" t="b">
        <f t="shared" si="63"/>
        <v>1</v>
      </c>
      <c r="U289" t="b">
        <f t="shared" si="64"/>
        <v>1</v>
      </c>
      <c r="V289" t="b">
        <f t="shared" si="65"/>
        <v>1</v>
      </c>
      <c r="W289" t="b">
        <f t="shared" si="66"/>
        <v>1</v>
      </c>
      <c r="X289" t="b">
        <f t="shared" si="67"/>
        <v>1</v>
      </c>
      <c r="Y289" t="b">
        <f t="shared" si="68"/>
        <v>1</v>
      </c>
      <c r="Z289" t="b">
        <f t="shared" si="69"/>
        <v>1</v>
      </c>
      <c r="AA289" t="b">
        <f t="shared" si="70"/>
        <v>1</v>
      </c>
      <c r="AB289" t="b">
        <f t="shared" si="71"/>
        <v>1</v>
      </c>
      <c r="AC289" t="b">
        <f t="shared" si="72"/>
        <v>1</v>
      </c>
      <c r="AD289" t="b">
        <f t="shared" si="73"/>
        <v>1</v>
      </c>
      <c r="AE289" t="b">
        <f t="shared" si="74"/>
        <v>1</v>
      </c>
      <c r="AG289" s="1">
        <v>2738833</v>
      </c>
      <c r="AH289" t="s">
        <v>884</v>
      </c>
      <c r="AI289">
        <v>540</v>
      </c>
      <c r="AJ289" t="s">
        <v>503</v>
      </c>
      <c r="AK289" s="2">
        <v>46246</v>
      </c>
      <c r="AL289" s="2">
        <v>46246</v>
      </c>
      <c r="AM289" s="3">
        <v>4</v>
      </c>
      <c r="AN289" t="s">
        <v>20</v>
      </c>
      <c r="AO289" s="3">
        <v>0</v>
      </c>
      <c r="AP289" t="s">
        <v>885</v>
      </c>
      <c r="AR289" t="s">
        <v>521</v>
      </c>
      <c r="AT289" t="s">
        <v>886</v>
      </c>
    </row>
    <row r="290" spans="1:47" x14ac:dyDescent="0.25">
      <c r="A290" s="1">
        <v>2569173</v>
      </c>
      <c r="B290" t="s">
        <v>19</v>
      </c>
      <c r="C290">
        <v>540</v>
      </c>
      <c r="D290" t="s">
        <v>1</v>
      </c>
      <c r="E290" s="2">
        <v>46247</v>
      </c>
      <c r="F290" s="2">
        <v>46247</v>
      </c>
      <c r="G290" s="3">
        <v>80</v>
      </c>
      <c r="H290" t="s">
        <v>20</v>
      </c>
      <c r="I290" s="3">
        <v>36000</v>
      </c>
      <c r="J290" t="s">
        <v>21</v>
      </c>
      <c r="K290" t="s">
        <v>4</v>
      </c>
      <c r="L290" t="s">
        <v>22</v>
      </c>
      <c r="M290" t="s">
        <v>6</v>
      </c>
      <c r="N290" t="s">
        <v>7</v>
      </c>
      <c r="O290" t="s">
        <v>7</v>
      </c>
      <c r="Q290" t="b">
        <f t="shared" si="60"/>
        <v>1</v>
      </c>
      <c r="R290" t="b">
        <f t="shared" si="61"/>
        <v>1</v>
      </c>
      <c r="S290" t="b">
        <f t="shared" si="62"/>
        <v>1</v>
      </c>
      <c r="T290" t="b">
        <f t="shared" si="63"/>
        <v>1</v>
      </c>
      <c r="U290" t="b">
        <f t="shared" si="64"/>
        <v>1</v>
      </c>
      <c r="V290" t="b">
        <f t="shared" si="65"/>
        <v>1</v>
      </c>
      <c r="W290" t="b">
        <f t="shared" si="66"/>
        <v>1</v>
      </c>
      <c r="X290" t="b">
        <f t="shared" si="67"/>
        <v>1</v>
      </c>
      <c r="Y290" t="b">
        <f t="shared" si="68"/>
        <v>1</v>
      </c>
      <c r="Z290" t="b">
        <f t="shared" si="69"/>
        <v>1</v>
      </c>
      <c r="AA290" t="b">
        <f t="shared" si="70"/>
        <v>1</v>
      </c>
      <c r="AB290" t="b">
        <f t="shared" si="71"/>
        <v>1</v>
      </c>
      <c r="AC290" t="b">
        <f t="shared" si="72"/>
        <v>1</v>
      </c>
      <c r="AD290" t="b">
        <f t="shared" si="73"/>
        <v>1</v>
      </c>
      <c r="AE290" t="b">
        <f t="shared" si="74"/>
        <v>1</v>
      </c>
      <c r="AG290" s="1">
        <v>2569173</v>
      </c>
      <c r="AH290" t="s">
        <v>514</v>
      </c>
      <c r="AI290">
        <v>540</v>
      </c>
      <c r="AJ290" t="s">
        <v>503</v>
      </c>
      <c r="AK290" s="2">
        <v>46247</v>
      </c>
      <c r="AL290" s="2">
        <v>46247</v>
      </c>
      <c r="AM290" s="3">
        <v>80</v>
      </c>
      <c r="AN290" t="s">
        <v>20</v>
      </c>
      <c r="AO290" s="3">
        <v>36000</v>
      </c>
      <c r="AP290" t="s">
        <v>515</v>
      </c>
      <c r="AR290" t="s">
        <v>516</v>
      </c>
    </row>
    <row r="291" spans="1:47" x14ac:dyDescent="0.25">
      <c r="A291" s="1">
        <v>2674511</v>
      </c>
      <c r="B291" t="s">
        <v>99</v>
      </c>
      <c r="C291">
        <v>540</v>
      </c>
      <c r="D291" t="s">
        <v>15</v>
      </c>
      <c r="E291" s="2">
        <v>46247</v>
      </c>
      <c r="F291" s="2">
        <v>46247</v>
      </c>
      <c r="G291" s="3">
        <v>45000</v>
      </c>
      <c r="H291" t="s">
        <v>16</v>
      </c>
      <c r="I291" s="3">
        <v>45000</v>
      </c>
      <c r="J291" t="s">
        <v>417</v>
      </c>
      <c r="K291" t="s">
        <v>4</v>
      </c>
      <c r="L291" t="s">
        <v>5</v>
      </c>
      <c r="M291" t="s">
        <v>6</v>
      </c>
      <c r="N291" t="s">
        <v>7</v>
      </c>
      <c r="O291" t="s">
        <v>418</v>
      </c>
      <c r="Q291" t="b">
        <f t="shared" si="60"/>
        <v>1</v>
      </c>
      <c r="R291" t="b">
        <f t="shared" si="61"/>
        <v>1</v>
      </c>
      <c r="S291" t="b">
        <f t="shared" si="62"/>
        <v>1</v>
      </c>
      <c r="T291" t="b">
        <f t="shared" si="63"/>
        <v>1</v>
      </c>
      <c r="U291" t="b">
        <f t="shared" si="64"/>
        <v>1</v>
      </c>
      <c r="V291" t="b">
        <f t="shared" si="65"/>
        <v>1</v>
      </c>
      <c r="W291" t="b">
        <f t="shared" si="66"/>
        <v>1</v>
      </c>
      <c r="X291" t="b">
        <f t="shared" si="67"/>
        <v>1</v>
      </c>
      <c r="Y291" t="b">
        <f t="shared" si="68"/>
        <v>1</v>
      </c>
      <c r="Z291" t="b">
        <f t="shared" si="69"/>
        <v>1</v>
      </c>
      <c r="AA291" t="b">
        <f t="shared" si="70"/>
        <v>1</v>
      </c>
      <c r="AB291" t="b">
        <f t="shared" si="71"/>
        <v>1</v>
      </c>
      <c r="AC291" t="b">
        <f t="shared" si="72"/>
        <v>1</v>
      </c>
      <c r="AD291" t="b">
        <f t="shared" si="73"/>
        <v>1</v>
      </c>
      <c r="AE291" t="b">
        <f t="shared" si="74"/>
        <v>1</v>
      </c>
      <c r="AG291" s="1">
        <v>2674511</v>
      </c>
      <c r="AH291" t="s">
        <v>586</v>
      </c>
      <c r="AI291">
        <v>540</v>
      </c>
      <c r="AJ291" t="s">
        <v>511</v>
      </c>
      <c r="AK291" s="2">
        <v>46247</v>
      </c>
      <c r="AL291" s="2">
        <v>46247</v>
      </c>
      <c r="AM291" s="3">
        <v>45000</v>
      </c>
      <c r="AN291" t="s">
        <v>16</v>
      </c>
      <c r="AO291" s="3">
        <v>45000</v>
      </c>
      <c r="AP291" t="s">
        <v>887</v>
      </c>
      <c r="AR291" t="s">
        <v>505</v>
      </c>
      <c r="AU291" t="s">
        <v>888</v>
      </c>
    </row>
    <row r="292" spans="1:47" x14ac:dyDescent="0.25">
      <c r="A292" s="1">
        <v>2703536</v>
      </c>
      <c r="B292" t="s">
        <v>24</v>
      </c>
      <c r="C292">
        <v>540</v>
      </c>
      <c r="D292" t="s">
        <v>1</v>
      </c>
      <c r="E292" s="2">
        <v>46247</v>
      </c>
      <c r="F292" s="2">
        <v>46247</v>
      </c>
      <c r="G292" s="3">
        <v>14</v>
      </c>
      <c r="H292" t="s">
        <v>11</v>
      </c>
      <c r="I292" s="3">
        <v>30800</v>
      </c>
      <c r="J292" t="s">
        <v>25</v>
      </c>
      <c r="K292" t="s">
        <v>4</v>
      </c>
      <c r="L292" t="s">
        <v>22</v>
      </c>
      <c r="M292" t="s">
        <v>6</v>
      </c>
      <c r="N292" t="s">
        <v>7</v>
      </c>
      <c r="O292" t="s">
        <v>7</v>
      </c>
      <c r="Q292" t="b">
        <f t="shared" si="60"/>
        <v>1</v>
      </c>
      <c r="R292" t="b">
        <f t="shared" si="61"/>
        <v>1</v>
      </c>
      <c r="S292" t="b">
        <f t="shared" si="62"/>
        <v>1</v>
      </c>
      <c r="T292" t="b">
        <f t="shared" si="63"/>
        <v>1</v>
      </c>
      <c r="U292" t="b">
        <f t="shared" si="64"/>
        <v>1</v>
      </c>
      <c r="V292" t="b">
        <f t="shared" si="65"/>
        <v>1</v>
      </c>
      <c r="W292" t="b">
        <f t="shared" si="66"/>
        <v>1</v>
      </c>
      <c r="X292" t="b">
        <f t="shared" si="67"/>
        <v>1</v>
      </c>
      <c r="Y292" t="b">
        <f t="shared" si="68"/>
        <v>1</v>
      </c>
      <c r="Z292" t="b">
        <f t="shared" si="69"/>
        <v>1</v>
      </c>
      <c r="AA292" t="b">
        <f t="shared" si="70"/>
        <v>1</v>
      </c>
      <c r="AB292" t="b">
        <f t="shared" si="71"/>
        <v>1</v>
      </c>
      <c r="AC292" t="b">
        <f t="shared" si="72"/>
        <v>1</v>
      </c>
      <c r="AD292" t="b">
        <f t="shared" si="73"/>
        <v>1</v>
      </c>
      <c r="AE292" t="b">
        <f t="shared" si="74"/>
        <v>1</v>
      </c>
      <c r="AG292" s="1">
        <v>2703536</v>
      </c>
      <c r="AH292" t="s">
        <v>517</v>
      </c>
      <c r="AI292">
        <v>540</v>
      </c>
      <c r="AJ292" t="s">
        <v>503</v>
      </c>
      <c r="AK292" s="2">
        <v>46247</v>
      </c>
      <c r="AL292" s="2">
        <v>46247</v>
      </c>
      <c r="AM292" s="3">
        <v>14</v>
      </c>
      <c r="AN292" t="s">
        <v>11</v>
      </c>
      <c r="AO292" s="3">
        <v>30800</v>
      </c>
      <c r="AP292" t="s">
        <v>518</v>
      </c>
      <c r="AR292" t="s">
        <v>516</v>
      </c>
    </row>
    <row r="293" spans="1:47" x14ac:dyDescent="0.25">
      <c r="A293" s="1">
        <v>2723347</v>
      </c>
      <c r="B293" t="s">
        <v>163</v>
      </c>
      <c r="C293">
        <v>540</v>
      </c>
      <c r="D293" t="s">
        <v>1</v>
      </c>
      <c r="E293" s="2">
        <v>46247</v>
      </c>
      <c r="F293" s="2">
        <v>46247</v>
      </c>
      <c r="G293" s="3">
        <v>8</v>
      </c>
      <c r="H293" t="s">
        <v>20</v>
      </c>
      <c r="I293" s="3">
        <v>3600</v>
      </c>
      <c r="J293" t="s">
        <v>262</v>
      </c>
      <c r="K293" t="s">
        <v>4</v>
      </c>
      <c r="L293" t="s">
        <v>108</v>
      </c>
      <c r="M293" t="s">
        <v>6</v>
      </c>
      <c r="N293" t="s">
        <v>165</v>
      </c>
      <c r="O293" t="s">
        <v>7</v>
      </c>
      <c r="Q293" t="b">
        <f t="shared" si="60"/>
        <v>1</v>
      </c>
      <c r="R293" t="b">
        <f t="shared" si="61"/>
        <v>1</v>
      </c>
      <c r="S293" t="b">
        <f t="shared" si="62"/>
        <v>1</v>
      </c>
      <c r="T293" t="b">
        <f t="shared" si="63"/>
        <v>1</v>
      </c>
      <c r="U293" t="b">
        <f t="shared" si="64"/>
        <v>1</v>
      </c>
      <c r="V293" t="b">
        <f t="shared" si="65"/>
        <v>1</v>
      </c>
      <c r="W293" t="b">
        <f t="shared" si="66"/>
        <v>1</v>
      </c>
      <c r="X293" t="b">
        <f t="shared" si="67"/>
        <v>1</v>
      </c>
      <c r="Y293" t="b">
        <f t="shared" si="68"/>
        <v>1</v>
      </c>
      <c r="Z293" t="b">
        <f t="shared" si="69"/>
        <v>1</v>
      </c>
      <c r="AA293" t="b">
        <f t="shared" si="70"/>
        <v>1</v>
      </c>
      <c r="AB293" t="b">
        <f t="shared" si="71"/>
        <v>1</v>
      </c>
      <c r="AC293" t="b">
        <f t="shared" si="72"/>
        <v>1</v>
      </c>
      <c r="AD293" t="b">
        <f t="shared" si="73"/>
        <v>1</v>
      </c>
      <c r="AE293" t="b">
        <f t="shared" si="74"/>
        <v>1</v>
      </c>
      <c r="AG293" s="1">
        <v>2723347</v>
      </c>
      <c r="AH293" t="s">
        <v>646</v>
      </c>
      <c r="AI293">
        <v>540</v>
      </c>
      <c r="AJ293" t="s">
        <v>503</v>
      </c>
      <c r="AK293" s="2">
        <v>46247</v>
      </c>
      <c r="AL293" s="2">
        <v>46247</v>
      </c>
      <c r="AM293" s="3">
        <v>8</v>
      </c>
      <c r="AN293" t="s">
        <v>20</v>
      </c>
      <c r="AO293" s="3">
        <v>3600</v>
      </c>
      <c r="AP293" t="s">
        <v>739</v>
      </c>
      <c r="AR293" t="s">
        <v>595</v>
      </c>
      <c r="AT293" t="s">
        <v>648</v>
      </c>
    </row>
    <row r="294" spans="1:47" x14ac:dyDescent="0.25">
      <c r="A294" s="1">
        <v>2744328</v>
      </c>
      <c r="B294" t="s">
        <v>91</v>
      </c>
      <c r="C294">
        <v>530</v>
      </c>
      <c r="D294" t="s">
        <v>1</v>
      </c>
      <c r="E294" s="2">
        <v>46247</v>
      </c>
      <c r="F294" s="2">
        <v>46247</v>
      </c>
      <c r="G294" s="3">
        <v>1</v>
      </c>
      <c r="H294" t="s">
        <v>11</v>
      </c>
      <c r="I294" s="3">
        <v>2600</v>
      </c>
      <c r="J294" t="s">
        <v>92</v>
      </c>
      <c r="K294" t="s">
        <v>181</v>
      </c>
      <c r="L294" t="s">
        <v>30</v>
      </c>
      <c r="M294" t="s">
        <v>6</v>
      </c>
      <c r="N294" t="s">
        <v>7</v>
      </c>
      <c r="O294" t="s">
        <v>7</v>
      </c>
      <c r="Q294" t="b">
        <f t="shared" si="60"/>
        <v>1</v>
      </c>
      <c r="R294" t="b">
        <f t="shared" si="61"/>
        <v>1</v>
      </c>
      <c r="S294" t="b">
        <f t="shared" si="62"/>
        <v>1</v>
      </c>
      <c r="T294" t="b">
        <f t="shared" si="63"/>
        <v>1</v>
      </c>
      <c r="U294" t="b">
        <f t="shared" si="64"/>
        <v>1</v>
      </c>
      <c r="V294" t="b">
        <f t="shared" si="65"/>
        <v>1</v>
      </c>
      <c r="W294" t="b">
        <f t="shared" si="66"/>
        <v>1</v>
      </c>
      <c r="X294" t="b">
        <f t="shared" si="67"/>
        <v>1</v>
      </c>
      <c r="Y294" t="b">
        <f t="shared" si="68"/>
        <v>1</v>
      </c>
      <c r="Z294" t="b">
        <f t="shared" si="69"/>
        <v>1</v>
      </c>
      <c r="AA294" t="b">
        <f t="shared" si="70"/>
        <v>1</v>
      </c>
      <c r="AB294" t="b">
        <f t="shared" si="71"/>
        <v>1</v>
      </c>
      <c r="AC294" t="b">
        <f t="shared" si="72"/>
        <v>1</v>
      </c>
      <c r="AD294" t="b">
        <f t="shared" si="73"/>
        <v>1</v>
      </c>
      <c r="AE294" t="b">
        <f t="shared" si="74"/>
        <v>1</v>
      </c>
      <c r="AG294" s="1">
        <v>2744328</v>
      </c>
      <c r="AH294" t="s">
        <v>578</v>
      </c>
      <c r="AI294">
        <v>530</v>
      </c>
      <c r="AJ294" t="s">
        <v>503</v>
      </c>
      <c r="AK294" s="2">
        <v>46247</v>
      </c>
      <c r="AL294" s="2">
        <v>46247</v>
      </c>
      <c r="AM294" s="3">
        <v>1</v>
      </c>
      <c r="AN294" t="s">
        <v>11</v>
      </c>
      <c r="AO294" s="3">
        <v>2600</v>
      </c>
      <c r="AP294" t="s">
        <v>579</v>
      </c>
      <c r="AQ294" t="s">
        <v>181</v>
      </c>
      <c r="AR294" t="s">
        <v>521</v>
      </c>
    </row>
    <row r="295" spans="1:47" x14ac:dyDescent="0.25">
      <c r="A295" s="1">
        <v>2744328</v>
      </c>
      <c r="B295" t="s">
        <v>91</v>
      </c>
      <c r="C295">
        <v>530</v>
      </c>
      <c r="D295" t="s">
        <v>1</v>
      </c>
      <c r="E295" s="2">
        <v>46247</v>
      </c>
      <c r="F295" s="2">
        <v>46247</v>
      </c>
      <c r="G295" s="3">
        <v>1</v>
      </c>
      <c r="H295" t="s">
        <v>20</v>
      </c>
      <c r="I295" s="3">
        <v>450</v>
      </c>
      <c r="J295" t="s">
        <v>419</v>
      </c>
      <c r="K295" t="s">
        <v>181</v>
      </c>
      <c r="L295" t="s">
        <v>30</v>
      </c>
      <c r="M295" t="s">
        <v>6</v>
      </c>
      <c r="N295" t="s">
        <v>7</v>
      </c>
      <c r="O295" t="s">
        <v>7</v>
      </c>
      <c r="Q295" t="b">
        <f t="shared" si="60"/>
        <v>1</v>
      </c>
      <c r="R295" t="b">
        <f t="shared" si="61"/>
        <v>1</v>
      </c>
      <c r="S295" t="b">
        <f t="shared" si="62"/>
        <v>1</v>
      </c>
      <c r="T295" t="b">
        <f t="shared" si="63"/>
        <v>1</v>
      </c>
      <c r="U295" t="b">
        <f t="shared" si="64"/>
        <v>1</v>
      </c>
      <c r="V295" t="b">
        <f t="shared" si="65"/>
        <v>1</v>
      </c>
      <c r="W295" t="b">
        <f t="shared" si="66"/>
        <v>1</v>
      </c>
      <c r="X295" t="b">
        <f t="shared" si="67"/>
        <v>1</v>
      </c>
      <c r="Y295" t="b">
        <f t="shared" si="68"/>
        <v>1</v>
      </c>
      <c r="Z295" t="b">
        <f t="shared" si="69"/>
        <v>1</v>
      </c>
      <c r="AA295" t="b">
        <f t="shared" si="70"/>
        <v>1</v>
      </c>
      <c r="AB295" t="b">
        <f t="shared" si="71"/>
        <v>1</v>
      </c>
      <c r="AC295" t="b">
        <f t="shared" si="72"/>
        <v>1</v>
      </c>
      <c r="AD295" t="b">
        <f t="shared" si="73"/>
        <v>1</v>
      </c>
      <c r="AE295" t="b">
        <f t="shared" si="74"/>
        <v>1</v>
      </c>
      <c r="AG295" s="1">
        <v>2744328</v>
      </c>
      <c r="AH295" t="s">
        <v>578</v>
      </c>
      <c r="AI295">
        <v>530</v>
      </c>
      <c r="AJ295" t="s">
        <v>503</v>
      </c>
      <c r="AK295" s="2">
        <v>46247</v>
      </c>
      <c r="AL295" s="2">
        <v>46247</v>
      </c>
      <c r="AM295" s="3">
        <v>1</v>
      </c>
      <c r="AN295" t="s">
        <v>20</v>
      </c>
      <c r="AO295" s="3">
        <v>450</v>
      </c>
      <c r="AP295" t="s">
        <v>889</v>
      </c>
      <c r="AQ295" t="s">
        <v>181</v>
      </c>
      <c r="AR295" t="s">
        <v>521</v>
      </c>
    </row>
    <row r="296" spans="1:47" x14ac:dyDescent="0.25">
      <c r="A296" s="1">
        <v>2695111</v>
      </c>
      <c r="B296" t="s">
        <v>420</v>
      </c>
      <c r="C296">
        <v>540</v>
      </c>
      <c r="D296" t="s">
        <v>1</v>
      </c>
      <c r="E296" s="2">
        <v>46248</v>
      </c>
      <c r="F296" s="2">
        <v>46248</v>
      </c>
      <c r="G296" s="3">
        <v>1</v>
      </c>
      <c r="H296" t="s">
        <v>20</v>
      </c>
      <c r="I296" s="3">
        <v>0</v>
      </c>
      <c r="J296" t="s">
        <v>421</v>
      </c>
      <c r="K296" t="s">
        <v>4</v>
      </c>
      <c r="L296" t="s">
        <v>108</v>
      </c>
      <c r="M296" t="s">
        <v>6</v>
      </c>
      <c r="N296" t="s">
        <v>7</v>
      </c>
      <c r="O296" t="s">
        <v>109</v>
      </c>
      <c r="Q296" t="b">
        <f t="shared" si="60"/>
        <v>1</v>
      </c>
      <c r="R296" t="b">
        <f t="shared" si="61"/>
        <v>1</v>
      </c>
      <c r="S296" t="b">
        <f t="shared" si="62"/>
        <v>1</v>
      </c>
      <c r="T296" t="b">
        <f t="shared" si="63"/>
        <v>1</v>
      </c>
      <c r="U296" t="b">
        <f t="shared" si="64"/>
        <v>1</v>
      </c>
      <c r="V296" t="b">
        <f t="shared" si="65"/>
        <v>1</v>
      </c>
      <c r="W296" t="b">
        <f t="shared" si="66"/>
        <v>1</v>
      </c>
      <c r="X296" t="b">
        <f t="shared" si="67"/>
        <v>1</v>
      </c>
      <c r="Y296" t="b">
        <f t="shared" si="68"/>
        <v>1</v>
      </c>
      <c r="Z296" t="b">
        <f t="shared" si="69"/>
        <v>1</v>
      </c>
      <c r="AA296" t="b">
        <f t="shared" si="70"/>
        <v>1</v>
      </c>
      <c r="AB296" t="b">
        <f t="shared" si="71"/>
        <v>1</v>
      </c>
      <c r="AC296" t="b">
        <f t="shared" si="72"/>
        <v>1</v>
      </c>
      <c r="AD296" t="b">
        <f t="shared" si="73"/>
        <v>1</v>
      </c>
      <c r="AE296" t="b">
        <f t="shared" si="74"/>
        <v>1</v>
      </c>
      <c r="AG296" s="1">
        <v>2695111</v>
      </c>
      <c r="AH296" t="s">
        <v>890</v>
      </c>
      <c r="AI296">
        <v>540</v>
      </c>
      <c r="AJ296" t="s">
        <v>503</v>
      </c>
      <c r="AK296" s="2">
        <v>46248</v>
      </c>
      <c r="AL296" s="2">
        <v>46248</v>
      </c>
      <c r="AM296" s="3">
        <v>1</v>
      </c>
      <c r="AN296" t="s">
        <v>20</v>
      </c>
      <c r="AO296" s="3">
        <v>0</v>
      </c>
      <c r="AP296" t="s">
        <v>891</v>
      </c>
      <c r="AR296" t="s">
        <v>595</v>
      </c>
      <c r="AU296" t="s">
        <v>596</v>
      </c>
    </row>
    <row r="297" spans="1:47" x14ac:dyDescent="0.25">
      <c r="A297" s="1">
        <v>2711119</v>
      </c>
      <c r="B297" t="s">
        <v>422</v>
      </c>
      <c r="C297">
        <v>540</v>
      </c>
      <c r="D297" t="s">
        <v>1</v>
      </c>
      <c r="E297" s="2">
        <v>46248</v>
      </c>
      <c r="F297" s="2">
        <v>46248</v>
      </c>
      <c r="G297" s="3">
        <v>16</v>
      </c>
      <c r="H297" t="s">
        <v>20</v>
      </c>
      <c r="I297" s="3">
        <v>7600</v>
      </c>
      <c r="J297" t="s">
        <v>39</v>
      </c>
      <c r="K297" t="s">
        <v>4</v>
      </c>
      <c r="L297" t="s">
        <v>40</v>
      </c>
      <c r="M297" t="s">
        <v>6</v>
      </c>
      <c r="N297" t="s">
        <v>7</v>
      </c>
      <c r="O297" t="s">
        <v>7</v>
      </c>
      <c r="Q297" t="b">
        <f t="shared" si="60"/>
        <v>1</v>
      </c>
      <c r="R297" t="b">
        <f t="shared" si="61"/>
        <v>1</v>
      </c>
      <c r="S297" t="b">
        <f t="shared" si="62"/>
        <v>1</v>
      </c>
      <c r="T297" t="b">
        <f t="shared" si="63"/>
        <v>1</v>
      </c>
      <c r="U297" t="b">
        <f t="shared" si="64"/>
        <v>1</v>
      </c>
      <c r="V297" t="b">
        <f t="shared" si="65"/>
        <v>1</v>
      </c>
      <c r="W297" t="b">
        <f t="shared" si="66"/>
        <v>1</v>
      </c>
      <c r="X297" t="b">
        <f t="shared" si="67"/>
        <v>1</v>
      </c>
      <c r="Y297" t="b">
        <f t="shared" si="68"/>
        <v>1</v>
      </c>
      <c r="Z297" t="b">
        <f t="shared" si="69"/>
        <v>1</v>
      </c>
      <c r="AA297" t="b">
        <f t="shared" si="70"/>
        <v>1</v>
      </c>
      <c r="AB297" t="b">
        <f t="shared" si="71"/>
        <v>1</v>
      </c>
      <c r="AC297" t="b">
        <f t="shared" si="72"/>
        <v>1</v>
      </c>
      <c r="AD297" t="b">
        <f t="shared" si="73"/>
        <v>1</v>
      </c>
      <c r="AE297" t="b">
        <f t="shared" si="74"/>
        <v>1</v>
      </c>
      <c r="AG297" s="1">
        <v>2711119</v>
      </c>
      <c r="AH297" t="s">
        <v>892</v>
      </c>
      <c r="AI297">
        <v>540</v>
      </c>
      <c r="AJ297" t="s">
        <v>503</v>
      </c>
      <c r="AK297" s="2">
        <v>46248</v>
      </c>
      <c r="AL297" s="2">
        <v>46248</v>
      </c>
      <c r="AM297" s="3">
        <v>16</v>
      </c>
      <c r="AN297" t="s">
        <v>20</v>
      </c>
      <c r="AO297" s="3">
        <v>7600</v>
      </c>
      <c r="AP297" t="s">
        <v>530</v>
      </c>
      <c r="AR297" t="s">
        <v>531</v>
      </c>
    </row>
    <row r="298" spans="1:47" x14ac:dyDescent="0.25">
      <c r="A298" s="1">
        <v>2744056</v>
      </c>
      <c r="B298" t="s">
        <v>106</v>
      </c>
      <c r="C298">
        <v>525</v>
      </c>
      <c r="D298" t="s">
        <v>1</v>
      </c>
      <c r="E298" s="2">
        <v>46248</v>
      </c>
      <c r="F298" s="2">
        <v>46248</v>
      </c>
      <c r="G298" s="3">
        <v>35</v>
      </c>
      <c r="H298" t="s">
        <v>20</v>
      </c>
      <c r="I298" s="3">
        <v>0</v>
      </c>
      <c r="J298" t="s">
        <v>94</v>
      </c>
      <c r="K298" t="s">
        <v>343</v>
      </c>
      <c r="L298" t="s">
        <v>30</v>
      </c>
      <c r="M298" t="s">
        <v>6</v>
      </c>
      <c r="N298" t="s">
        <v>7</v>
      </c>
      <c r="O298" t="s">
        <v>423</v>
      </c>
      <c r="Q298" t="b">
        <f t="shared" si="60"/>
        <v>1</v>
      </c>
      <c r="R298" t="b">
        <f t="shared" si="61"/>
        <v>1</v>
      </c>
      <c r="S298" t="b">
        <f t="shared" si="62"/>
        <v>1</v>
      </c>
      <c r="T298" t="b">
        <f t="shared" si="63"/>
        <v>1</v>
      </c>
      <c r="U298" t="b">
        <f t="shared" si="64"/>
        <v>1</v>
      </c>
      <c r="V298" t="b">
        <f t="shared" si="65"/>
        <v>1</v>
      </c>
      <c r="W298" t="b">
        <f t="shared" si="66"/>
        <v>1</v>
      </c>
      <c r="X298" t="b">
        <f t="shared" si="67"/>
        <v>1</v>
      </c>
      <c r="Y298" t="b">
        <f t="shared" si="68"/>
        <v>1</v>
      </c>
      <c r="Z298" t="b">
        <f t="shared" si="69"/>
        <v>1</v>
      </c>
      <c r="AA298" t="b">
        <f t="shared" si="70"/>
        <v>1</v>
      </c>
      <c r="AB298" t="b">
        <f t="shared" si="71"/>
        <v>1</v>
      </c>
      <c r="AC298" t="b">
        <f t="shared" si="72"/>
        <v>1</v>
      </c>
      <c r="AD298" t="b">
        <f t="shared" si="73"/>
        <v>1</v>
      </c>
      <c r="AE298" t="b">
        <f t="shared" si="74"/>
        <v>1</v>
      </c>
      <c r="AG298" s="1">
        <v>2744056</v>
      </c>
      <c r="AH298" t="s">
        <v>593</v>
      </c>
      <c r="AI298">
        <v>525</v>
      </c>
      <c r="AJ298" t="s">
        <v>503</v>
      </c>
      <c r="AK298" s="2">
        <v>46248</v>
      </c>
      <c r="AL298" s="2">
        <v>46248</v>
      </c>
      <c r="AM298" s="3">
        <v>35</v>
      </c>
      <c r="AN298" t="s">
        <v>20</v>
      </c>
      <c r="AO298" s="3">
        <v>0</v>
      </c>
      <c r="AP298" t="s">
        <v>581</v>
      </c>
      <c r="AQ298" t="s">
        <v>343</v>
      </c>
      <c r="AR298" t="s">
        <v>521</v>
      </c>
      <c r="AU298" t="s">
        <v>893</v>
      </c>
    </row>
    <row r="299" spans="1:47" x14ac:dyDescent="0.25">
      <c r="A299" s="1">
        <v>2642532</v>
      </c>
      <c r="B299" t="s">
        <v>424</v>
      </c>
      <c r="C299">
        <v>540</v>
      </c>
      <c r="D299" t="s">
        <v>1</v>
      </c>
      <c r="E299" s="2">
        <v>46251</v>
      </c>
      <c r="F299" s="2">
        <v>46251</v>
      </c>
      <c r="G299" s="3">
        <v>15</v>
      </c>
      <c r="H299" t="s">
        <v>11</v>
      </c>
      <c r="I299" s="3">
        <v>39000</v>
      </c>
      <c r="J299" t="s">
        <v>62</v>
      </c>
      <c r="K299" t="s">
        <v>83</v>
      </c>
      <c r="L299" t="s">
        <v>30</v>
      </c>
      <c r="M299" t="s">
        <v>6</v>
      </c>
      <c r="N299" t="s">
        <v>7</v>
      </c>
      <c r="O299" t="s">
        <v>7</v>
      </c>
      <c r="Q299" t="b">
        <f t="shared" si="60"/>
        <v>1</v>
      </c>
      <c r="R299" t="b">
        <f t="shared" si="61"/>
        <v>1</v>
      </c>
      <c r="S299" t="b">
        <f t="shared" si="62"/>
        <v>1</v>
      </c>
      <c r="T299" t="b">
        <f t="shared" si="63"/>
        <v>1</v>
      </c>
      <c r="U299" t="b">
        <f t="shared" si="64"/>
        <v>1</v>
      </c>
      <c r="V299" t="b">
        <f t="shared" si="65"/>
        <v>1</v>
      </c>
      <c r="W299" t="b">
        <f t="shared" si="66"/>
        <v>1</v>
      </c>
      <c r="X299" t="b">
        <f t="shared" si="67"/>
        <v>1</v>
      </c>
      <c r="Y299" t="b">
        <f t="shared" si="68"/>
        <v>1</v>
      </c>
      <c r="Z299" t="b">
        <f t="shared" si="69"/>
        <v>1</v>
      </c>
      <c r="AA299" t="b">
        <f t="shared" si="70"/>
        <v>1</v>
      </c>
      <c r="AB299" t="b">
        <f t="shared" si="71"/>
        <v>1</v>
      </c>
      <c r="AC299" t="b">
        <f t="shared" si="72"/>
        <v>1</v>
      </c>
      <c r="AD299" t="b">
        <f t="shared" si="73"/>
        <v>1</v>
      </c>
      <c r="AE299" t="b">
        <f t="shared" si="74"/>
        <v>1</v>
      </c>
      <c r="AG299" s="1">
        <v>2642532</v>
      </c>
      <c r="AH299" t="s">
        <v>894</v>
      </c>
      <c r="AI299">
        <v>540</v>
      </c>
      <c r="AJ299" t="s">
        <v>503</v>
      </c>
      <c r="AK299" s="2">
        <v>46251</v>
      </c>
      <c r="AL299" s="2">
        <v>46251</v>
      </c>
      <c r="AM299" s="3">
        <v>15</v>
      </c>
      <c r="AN299" t="s">
        <v>11</v>
      </c>
      <c r="AO299" s="3">
        <v>39000</v>
      </c>
      <c r="AP299" t="s">
        <v>550</v>
      </c>
      <c r="AQ299" t="s">
        <v>83</v>
      </c>
      <c r="AR299" t="s">
        <v>521</v>
      </c>
    </row>
    <row r="300" spans="1:47" x14ac:dyDescent="0.25">
      <c r="A300" s="1">
        <v>2668918</v>
      </c>
      <c r="B300" t="s">
        <v>287</v>
      </c>
      <c r="C300">
        <v>540</v>
      </c>
      <c r="D300" t="s">
        <v>1</v>
      </c>
      <c r="E300" s="2">
        <v>46251</v>
      </c>
      <c r="F300" s="2">
        <v>46251</v>
      </c>
      <c r="G300" s="3">
        <v>2</v>
      </c>
      <c r="H300" t="s">
        <v>11</v>
      </c>
      <c r="I300" s="3">
        <v>5400</v>
      </c>
      <c r="J300" t="s">
        <v>230</v>
      </c>
      <c r="K300" t="s">
        <v>4</v>
      </c>
      <c r="L300" t="s">
        <v>30</v>
      </c>
      <c r="M300" t="s">
        <v>6</v>
      </c>
      <c r="N300" t="s">
        <v>231</v>
      </c>
      <c r="O300" t="s">
        <v>7</v>
      </c>
      <c r="Q300" t="b">
        <f t="shared" si="60"/>
        <v>1</v>
      </c>
      <c r="R300" t="b">
        <f t="shared" si="61"/>
        <v>1</v>
      </c>
      <c r="S300" t="b">
        <f t="shared" si="62"/>
        <v>1</v>
      </c>
      <c r="T300" t="b">
        <f t="shared" si="63"/>
        <v>1</v>
      </c>
      <c r="U300" t="b">
        <f t="shared" si="64"/>
        <v>1</v>
      </c>
      <c r="V300" t="b">
        <f t="shared" si="65"/>
        <v>1</v>
      </c>
      <c r="W300" t="b">
        <f t="shared" si="66"/>
        <v>1</v>
      </c>
      <c r="X300" t="b">
        <f t="shared" si="67"/>
        <v>1</v>
      </c>
      <c r="Y300" t="b">
        <f t="shared" si="68"/>
        <v>1</v>
      </c>
      <c r="Z300" t="b">
        <f t="shared" si="69"/>
        <v>1</v>
      </c>
      <c r="AA300" t="b">
        <f t="shared" si="70"/>
        <v>1</v>
      </c>
      <c r="AB300" t="b">
        <f t="shared" si="71"/>
        <v>1</v>
      </c>
      <c r="AC300" t="b">
        <f t="shared" si="72"/>
        <v>1</v>
      </c>
      <c r="AD300" t="b">
        <f t="shared" si="73"/>
        <v>1</v>
      </c>
      <c r="AE300" t="b">
        <f t="shared" si="74"/>
        <v>1</v>
      </c>
      <c r="AG300" s="1">
        <v>2668918</v>
      </c>
      <c r="AH300" t="s">
        <v>763</v>
      </c>
      <c r="AI300">
        <v>540</v>
      </c>
      <c r="AJ300" t="s">
        <v>503</v>
      </c>
      <c r="AK300" s="2">
        <v>46251</v>
      </c>
      <c r="AL300" s="2">
        <v>46251</v>
      </c>
      <c r="AM300" s="3">
        <v>2</v>
      </c>
      <c r="AN300" t="s">
        <v>11</v>
      </c>
      <c r="AO300" s="3">
        <v>5400</v>
      </c>
      <c r="AP300" t="s">
        <v>709</v>
      </c>
      <c r="AR300" t="s">
        <v>521</v>
      </c>
      <c r="AT300" t="s">
        <v>710</v>
      </c>
    </row>
    <row r="301" spans="1:47" x14ac:dyDescent="0.25">
      <c r="A301" s="1">
        <v>2684267</v>
      </c>
      <c r="B301" t="s">
        <v>370</v>
      </c>
      <c r="C301">
        <v>540</v>
      </c>
      <c r="D301" t="s">
        <v>1</v>
      </c>
      <c r="E301" s="2">
        <v>46252</v>
      </c>
      <c r="F301" s="2">
        <v>46251</v>
      </c>
      <c r="G301" s="3">
        <v>8</v>
      </c>
      <c r="H301" t="s">
        <v>20</v>
      </c>
      <c r="I301" s="3">
        <v>3600</v>
      </c>
      <c r="J301" t="s">
        <v>425</v>
      </c>
      <c r="K301" t="s">
        <v>4</v>
      </c>
      <c r="L301" t="s">
        <v>40</v>
      </c>
      <c r="M301" t="s">
        <v>6</v>
      </c>
      <c r="N301" t="s">
        <v>372</v>
      </c>
      <c r="O301" t="s">
        <v>7</v>
      </c>
      <c r="Q301" t="b">
        <f t="shared" si="60"/>
        <v>1</v>
      </c>
      <c r="R301" t="b">
        <f t="shared" si="61"/>
        <v>1</v>
      </c>
      <c r="S301" t="b">
        <f t="shared" si="62"/>
        <v>1</v>
      </c>
      <c r="T301" t="b">
        <f t="shared" si="63"/>
        <v>1</v>
      </c>
      <c r="U301" t="b">
        <f t="shared" si="64"/>
        <v>1</v>
      </c>
      <c r="V301" t="b">
        <f t="shared" si="65"/>
        <v>1</v>
      </c>
      <c r="W301" t="b">
        <f t="shared" si="66"/>
        <v>1</v>
      </c>
      <c r="X301" t="b">
        <f t="shared" si="67"/>
        <v>1</v>
      </c>
      <c r="Y301" t="b">
        <f t="shared" si="68"/>
        <v>1</v>
      </c>
      <c r="Z301" t="b">
        <f t="shared" si="69"/>
        <v>1</v>
      </c>
      <c r="AA301" t="b">
        <f t="shared" si="70"/>
        <v>1</v>
      </c>
      <c r="AB301" t="b">
        <f t="shared" si="71"/>
        <v>1</v>
      </c>
      <c r="AC301" t="b">
        <f t="shared" si="72"/>
        <v>1</v>
      </c>
      <c r="AD301" t="b">
        <f t="shared" si="73"/>
        <v>1</v>
      </c>
      <c r="AE301" t="b">
        <f t="shared" si="74"/>
        <v>1</v>
      </c>
      <c r="AG301" s="1">
        <v>2684267</v>
      </c>
      <c r="AH301" t="s">
        <v>840</v>
      </c>
      <c r="AI301">
        <v>540</v>
      </c>
      <c r="AJ301" t="s">
        <v>503</v>
      </c>
      <c r="AK301" s="2">
        <v>46252</v>
      </c>
      <c r="AL301" s="2">
        <v>46251</v>
      </c>
      <c r="AM301" s="3">
        <v>8</v>
      </c>
      <c r="AN301" t="s">
        <v>20</v>
      </c>
      <c r="AO301" s="3">
        <v>3600</v>
      </c>
      <c r="AP301" t="s">
        <v>895</v>
      </c>
      <c r="AR301" t="s">
        <v>531</v>
      </c>
      <c r="AT301" t="s">
        <v>842</v>
      </c>
    </row>
    <row r="302" spans="1:47" x14ac:dyDescent="0.25">
      <c r="A302" s="1">
        <v>2696713</v>
      </c>
      <c r="B302" t="s">
        <v>426</v>
      </c>
      <c r="C302">
        <v>540</v>
      </c>
      <c r="D302" t="s">
        <v>1</v>
      </c>
      <c r="E302" s="2">
        <v>46251</v>
      </c>
      <c r="F302" s="2">
        <v>46251</v>
      </c>
      <c r="G302" s="3">
        <v>15</v>
      </c>
      <c r="H302" t="s">
        <v>11</v>
      </c>
      <c r="I302" s="3">
        <v>39000</v>
      </c>
      <c r="J302" t="s">
        <v>427</v>
      </c>
      <c r="K302" t="s">
        <v>4</v>
      </c>
      <c r="L302" t="s">
        <v>22</v>
      </c>
      <c r="M302" t="s">
        <v>6</v>
      </c>
      <c r="N302" t="s">
        <v>7</v>
      </c>
      <c r="O302" t="s">
        <v>7</v>
      </c>
      <c r="Q302" t="b">
        <f t="shared" si="60"/>
        <v>1</v>
      </c>
      <c r="R302" t="b">
        <f t="shared" si="61"/>
        <v>1</v>
      </c>
      <c r="S302" t="b">
        <f t="shared" si="62"/>
        <v>1</v>
      </c>
      <c r="T302" t="b">
        <f t="shared" si="63"/>
        <v>1</v>
      </c>
      <c r="U302" t="b">
        <f t="shared" si="64"/>
        <v>1</v>
      </c>
      <c r="V302" t="b">
        <f t="shared" si="65"/>
        <v>1</v>
      </c>
      <c r="W302" t="b">
        <f t="shared" si="66"/>
        <v>1</v>
      </c>
      <c r="X302" t="b">
        <f t="shared" si="67"/>
        <v>1</v>
      </c>
      <c r="Y302" t="b">
        <f t="shared" si="68"/>
        <v>1</v>
      </c>
      <c r="Z302" t="b">
        <f t="shared" si="69"/>
        <v>1</v>
      </c>
      <c r="AA302" t="b">
        <f t="shared" si="70"/>
        <v>1</v>
      </c>
      <c r="AB302" t="b">
        <f t="shared" si="71"/>
        <v>1</v>
      </c>
      <c r="AC302" t="b">
        <f t="shared" si="72"/>
        <v>1</v>
      </c>
      <c r="AD302" t="b">
        <f t="shared" si="73"/>
        <v>1</v>
      </c>
      <c r="AE302" t="b">
        <f t="shared" si="74"/>
        <v>1</v>
      </c>
      <c r="AG302" s="1">
        <v>2696713</v>
      </c>
      <c r="AH302" t="s">
        <v>896</v>
      </c>
      <c r="AI302">
        <v>540</v>
      </c>
      <c r="AJ302" t="s">
        <v>503</v>
      </c>
      <c r="AK302" s="2">
        <v>46251</v>
      </c>
      <c r="AL302" s="2">
        <v>46251</v>
      </c>
      <c r="AM302" s="3">
        <v>15</v>
      </c>
      <c r="AN302" t="s">
        <v>11</v>
      </c>
      <c r="AO302" s="3">
        <v>39000</v>
      </c>
      <c r="AP302" t="s">
        <v>897</v>
      </c>
      <c r="AR302" t="s">
        <v>516</v>
      </c>
    </row>
    <row r="303" spans="1:47" x14ac:dyDescent="0.25">
      <c r="A303" s="1">
        <v>2713483</v>
      </c>
      <c r="B303" t="s">
        <v>99</v>
      </c>
      <c r="C303">
        <v>540</v>
      </c>
      <c r="D303" t="s">
        <v>1</v>
      </c>
      <c r="E303" s="2">
        <v>46251</v>
      </c>
      <c r="F303" s="2">
        <v>46251</v>
      </c>
      <c r="G303" s="3">
        <v>16</v>
      </c>
      <c r="H303" t="s">
        <v>20</v>
      </c>
      <c r="I303" s="3">
        <v>7200</v>
      </c>
      <c r="J303" t="s">
        <v>357</v>
      </c>
      <c r="K303" t="s">
        <v>4</v>
      </c>
      <c r="L303" t="s">
        <v>108</v>
      </c>
      <c r="M303" t="s">
        <v>6</v>
      </c>
      <c r="N303" t="s">
        <v>7</v>
      </c>
      <c r="O303" t="s">
        <v>7</v>
      </c>
      <c r="Q303" t="b">
        <f t="shared" si="60"/>
        <v>1</v>
      </c>
      <c r="R303" t="b">
        <f t="shared" si="61"/>
        <v>1</v>
      </c>
      <c r="S303" t="b">
        <f t="shared" si="62"/>
        <v>1</v>
      </c>
      <c r="T303" t="b">
        <f t="shared" si="63"/>
        <v>1</v>
      </c>
      <c r="U303" t="b">
        <f t="shared" si="64"/>
        <v>1</v>
      </c>
      <c r="V303" t="b">
        <f t="shared" si="65"/>
        <v>1</v>
      </c>
      <c r="W303" t="b">
        <f t="shared" si="66"/>
        <v>1</v>
      </c>
      <c r="X303" t="b">
        <f t="shared" si="67"/>
        <v>1</v>
      </c>
      <c r="Y303" t="b">
        <f t="shared" si="68"/>
        <v>1</v>
      </c>
      <c r="Z303" t="b">
        <f t="shared" si="69"/>
        <v>1</v>
      </c>
      <c r="AA303" t="b">
        <f t="shared" si="70"/>
        <v>1</v>
      </c>
      <c r="AB303" t="b">
        <f t="shared" si="71"/>
        <v>1</v>
      </c>
      <c r="AC303" t="b">
        <f t="shared" si="72"/>
        <v>1</v>
      </c>
      <c r="AD303" t="b">
        <f t="shared" si="73"/>
        <v>1</v>
      </c>
      <c r="AE303" t="b">
        <f t="shared" si="74"/>
        <v>1</v>
      </c>
      <c r="AG303" s="1">
        <v>2713483</v>
      </c>
      <c r="AH303" t="s">
        <v>586</v>
      </c>
      <c r="AI303">
        <v>540</v>
      </c>
      <c r="AJ303" t="s">
        <v>503</v>
      </c>
      <c r="AK303" s="2">
        <v>46251</v>
      </c>
      <c r="AL303" s="2">
        <v>46251</v>
      </c>
      <c r="AM303" s="3">
        <v>16</v>
      </c>
      <c r="AN303" t="s">
        <v>20</v>
      </c>
      <c r="AO303" s="3">
        <v>7200</v>
      </c>
      <c r="AP303" t="s">
        <v>827</v>
      </c>
      <c r="AR303" t="s">
        <v>595</v>
      </c>
    </row>
    <row r="304" spans="1:47" x14ac:dyDescent="0.25">
      <c r="A304" s="1">
        <v>2714238</v>
      </c>
      <c r="B304" t="s">
        <v>428</v>
      </c>
      <c r="C304">
        <v>540</v>
      </c>
      <c r="D304" t="s">
        <v>1</v>
      </c>
      <c r="E304" s="2">
        <v>46181</v>
      </c>
      <c r="F304" s="2">
        <v>46251</v>
      </c>
      <c r="G304" s="3">
        <v>2</v>
      </c>
      <c r="H304" t="s">
        <v>20</v>
      </c>
      <c r="I304" s="3">
        <v>850</v>
      </c>
      <c r="J304" t="s">
        <v>429</v>
      </c>
      <c r="K304" t="s">
        <v>4</v>
      </c>
      <c r="L304" t="s">
        <v>108</v>
      </c>
      <c r="M304" t="s">
        <v>6</v>
      </c>
      <c r="N304" t="s">
        <v>430</v>
      </c>
      <c r="O304" t="s">
        <v>7</v>
      </c>
      <c r="Q304" t="b">
        <f t="shared" si="60"/>
        <v>1</v>
      </c>
      <c r="R304" t="b">
        <f t="shared" si="61"/>
        <v>1</v>
      </c>
      <c r="S304" t="b">
        <f t="shared" si="62"/>
        <v>1</v>
      </c>
      <c r="T304" t="b">
        <f t="shared" si="63"/>
        <v>1</v>
      </c>
      <c r="U304" t="b">
        <f t="shared" si="64"/>
        <v>1</v>
      </c>
      <c r="V304" t="b">
        <f t="shared" si="65"/>
        <v>1</v>
      </c>
      <c r="W304" t="b">
        <f t="shared" si="66"/>
        <v>1</v>
      </c>
      <c r="X304" t="b">
        <f t="shared" si="67"/>
        <v>1</v>
      </c>
      <c r="Y304" t="b">
        <f t="shared" si="68"/>
        <v>1</v>
      </c>
      <c r="Z304" t="b">
        <f t="shared" si="69"/>
        <v>1</v>
      </c>
      <c r="AA304" t="b">
        <f t="shared" si="70"/>
        <v>1</v>
      </c>
      <c r="AB304" t="b">
        <f t="shared" si="71"/>
        <v>1</v>
      </c>
      <c r="AC304" t="b">
        <f t="shared" si="72"/>
        <v>1</v>
      </c>
      <c r="AD304" t="b">
        <f t="shared" si="73"/>
        <v>1</v>
      </c>
      <c r="AE304" t="b">
        <f t="shared" si="74"/>
        <v>1</v>
      </c>
      <c r="AG304" s="1">
        <v>2714238</v>
      </c>
      <c r="AH304" t="s">
        <v>898</v>
      </c>
      <c r="AI304">
        <v>540</v>
      </c>
      <c r="AJ304" t="s">
        <v>503</v>
      </c>
      <c r="AK304" s="2">
        <v>46181</v>
      </c>
      <c r="AL304" s="2">
        <v>46251</v>
      </c>
      <c r="AM304" s="3">
        <v>2</v>
      </c>
      <c r="AN304" t="s">
        <v>20</v>
      </c>
      <c r="AO304" s="3">
        <v>850</v>
      </c>
      <c r="AP304" t="s">
        <v>899</v>
      </c>
      <c r="AR304" t="s">
        <v>595</v>
      </c>
      <c r="AT304" t="s">
        <v>900</v>
      </c>
    </row>
    <row r="305" spans="1:47" x14ac:dyDescent="0.25">
      <c r="A305" s="1">
        <v>2740619</v>
      </c>
      <c r="B305" t="s">
        <v>431</v>
      </c>
      <c r="C305">
        <v>540</v>
      </c>
      <c r="D305" t="s">
        <v>1</v>
      </c>
      <c r="E305" s="2">
        <v>46234</v>
      </c>
      <c r="F305" s="2">
        <v>46252</v>
      </c>
      <c r="G305" s="3">
        <v>1</v>
      </c>
      <c r="H305" t="s">
        <v>149</v>
      </c>
      <c r="I305" s="3">
        <v>1</v>
      </c>
      <c r="J305" t="s">
        <v>432</v>
      </c>
      <c r="K305" t="s">
        <v>4</v>
      </c>
      <c r="L305" t="s">
        <v>146</v>
      </c>
      <c r="M305" t="s">
        <v>6</v>
      </c>
      <c r="N305" t="s">
        <v>7</v>
      </c>
      <c r="O305" t="s">
        <v>7</v>
      </c>
      <c r="Q305" t="b">
        <f t="shared" si="60"/>
        <v>1</v>
      </c>
      <c r="R305" t="b">
        <f t="shared" si="61"/>
        <v>1</v>
      </c>
      <c r="S305" t="b">
        <f t="shared" si="62"/>
        <v>1</v>
      </c>
      <c r="T305" t="b">
        <f t="shared" si="63"/>
        <v>1</v>
      </c>
      <c r="U305" t="b">
        <f t="shared" si="64"/>
        <v>1</v>
      </c>
      <c r="V305" t="b">
        <f t="shared" si="65"/>
        <v>1</v>
      </c>
      <c r="W305" t="b">
        <f t="shared" si="66"/>
        <v>1</v>
      </c>
      <c r="X305" t="b">
        <f t="shared" si="67"/>
        <v>1</v>
      </c>
      <c r="Y305" t="b">
        <f t="shared" si="68"/>
        <v>1</v>
      </c>
      <c r="Z305" t="b">
        <f t="shared" si="69"/>
        <v>1</v>
      </c>
      <c r="AA305" t="b">
        <f t="shared" si="70"/>
        <v>1</v>
      </c>
      <c r="AB305" t="b">
        <f t="shared" si="71"/>
        <v>1</v>
      </c>
      <c r="AC305" t="b">
        <f t="shared" si="72"/>
        <v>1</v>
      </c>
      <c r="AD305" t="b">
        <f t="shared" si="73"/>
        <v>1</v>
      </c>
      <c r="AE305" t="b">
        <f t="shared" si="74"/>
        <v>1</v>
      </c>
      <c r="AG305" s="1">
        <v>2740619</v>
      </c>
      <c r="AH305" t="s">
        <v>431</v>
      </c>
      <c r="AI305">
        <v>540</v>
      </c>
      <c r="AJ305" t="s">
        <v>503</v>
      </c>
      <c r="AK305" s="2">
        <v>46234</v>
      </c>
      <c r="AL305" s="2">
        <v>46252</v>
      </c>
      <c r="AM305" s="3">
        <v>1</v>
      </c>
      <c r="AN305" t="s">
        <v>149</v>
      </c>
      <c r="AO305" s="3">
        <v>1</v>
      </c>
      <c r="AP305" t="s">
        <v>901</v>
      </c>
      <c r="AR305" t="s">
        <v>631</v>
      </c>
    </row>
    <row r="306" spans="1:47" x14ac:dyDescent="0.25">
      <c r="A306" s="1">
        <v>2612464</v>
      </c>
      <c r="B306" t="s">
        <v>433</v>
      </c>
      <c r="C306">
        <v>540</v>
      </c>
      <c r="D306" t="s">
        <v>1</v>
      </c>
      <c r="E306" s="2">
        <v>46070</v>
      </c>
      <c r="F306" s="2">
        <v>46253</v>
      </c>
      <c r="G306" s="3">
        <v>1</v>
      </c>
      <c r="H306" t="s">
        <v>20</v>
      </c>
      <c r="I306" s="3">
        <v>450</v>
      </c>
      <c r="J306" t="s">
        <v>434</v>
      </c>
      <c r="K306" t="s">
        <v>4</v>
      </c>
      <c r="L306" t="s">
        <v>306</v>
      </c>
      <c r="M306" t="s">
        <v>6</v>
      </c>
      <c r="N306" t="s">
        <v>435</v>
      </c>
      <c r="O306" t="s">
        <v>7</v>
      </c>
      <c r="Q306" t="b">
        <f t="shared" si="60"/>
        <v>1</v>
      </c>
      <c r="R306" t="b">
        <f t="shared" si="61"/>
        <v>1</v>
      </c>
      <c r="S306" t="b">
        <f t="shared" si="62"/>
        <v>1</v>
      </c>
      <c r="T306" t="b">
        <f t="shared" si="63"/>
        <v>1</v>
      </c>
      <c r="U306" t="b">
        <f t="shared" si="64"/>
        <v>1</v>
      </c>
      <c r="V306" t="b">
        <f t="shared" si="65"/>
        <v>1</v>
      </c>
      <c r="W306" t="b">
        <f t="shared" si="66"/>
        <v>1</v>
      </c>
      <c r="X306" t="b">
        <f t="shared" si="67"/>
        <v>1</v>
      </c>
      <c r="Y306" t="b">
        <f t="shared" si="68"/>
        <v>1</v>
      </c>
      <c r="Z306" t="b">
        <f t="shared" si="69"/>
        <v>1</v>
      </c>
      <c r="AA306" t="b">
        <f t="shared" si="70"/>
        <v>1</v>
      </c>
      <c r="AB306" t="b">
        <f t="shared" si="71"/>
        <v>1</v>
      </c>
      <c r="AC306" t="b">
        <f t="shared" si="72"/>
        <v>1</v>
      </c>
      <c r="AD306" t="b">
        <f t="shared" si="73"/>
        <v>1</v>
      </c>
      <c r="AE306" t="b">
        <f t="shared" si="74"/>
        <v>1</v>
      </c>
      <c r="AG306" s="1">
        <v>2612464</v>
      </c>
      <c r="AH306" t="s">
        <v>902</v>
      </c>
      <c r="AI306">
        <v>540</v>
      </c>
      <c r="AJ306" t="s">
        <v>503</v>
      </c>
      <c r="AK306" s="2">
        <v>46070</v>
      </c>
      <c r="AL306" s="2">
        <v>46253</v>
      </c>
      <c r="AM306" s="3">
        <v>1</v>
      </c>
      <c r="AN306" t="s">
        <v>20</v>
      </c>
      <c r="AO306" s="3">
        <v>450</v>
      </c>
      <c r="AP306" t="s">
        <v>903</v>
      </c>
      <c r="AR306" t="s">
        <v>778</v>
      </c>
      <c r="AT306" t="s">
        <v>904</v>
      </c>
    </row>
    <row r="307" spans="1:47" x14ac:dyDescent="0.25">
      <c r="A307" s="1">
        <v>2664617</v>
      </c>
      <c r="B307" t="s">
        <v>436</v>
      </c>
      <c r="C307">
        <v>540</v>
      </c>
      <c r="D307" t="s">
        <v>1</v>
      </c>
      <c r="E307" s="2">
        <v>46253</v>
      </c>
      <c r="F307" s="2">
        <v>46253</v>
      </c>
      <c r="G307" s="3">
        <v>3</v>
      </c>
      <c r="H307" t="s">
        <v>20</v>
      </c>
      <c r="I307" s="3">
        <v>0</v>
      </c>
      <c r="J307" t="s">
        <v>437</v>
      </c>
      <c r="K307" t="s">
        <v>4</v>
      </c>
      <c r="L307" t="s">
        <v>108</v>
      </c>
      <c r="M307" t="s">
        <v>6</v>
      </c>
      <c r="N307" t="s">
        <v>7</v>
      </c>
      <c r="O307" t="s">
        <v>109</v>
      </c>
      <c r="Q307" t="b">
        <f t="shared" si="60"/>
        <v>1</v>
      </c>
      <c r="R307" t="b">
        <f t="shared" si="61"/>
        <v>1</v>
      </c>
      <c r="S307" t="b">
        <f t="shared" si="62"/>
        <v>1</v>
      </c>
      <c r="T307" t="b">
        <f t="shared" si="63"/>
        <v>1</v>
      </c>
      <c r="U307" t="b">
        <f t="shared" si="64"/>
        <v>1</v>
      </c>
      <c r="V307" t="b">
        <f t="shared" si="65"/>
        <v>1</v>
      </c>
      <c r="W307" t="b">
        <f t="shared" si="66"/>
        <v>1</v>
      </c>
      <c r="X307" t="b">
        <f t="shared" si="67"/>
        <v>1</v>
      </c>
      <c r="Y307" t="b">
        <f t="shared" si="68"/>
        <v>1</v>
      </c>
      <c r="Z307" t="b">
        <f t="shared" si="69"/>
        <v>1</v>
      </c>
      <c r="AA307" t="b">
        <f t="shared" si="70"/>
        <v>1</v>
      </c>
      <c r="AB307" t="b">
        <f t="shared" si="71"/>
        <v>1</v>
      </c>
      <c r="AC307" t="b">
        <f t="shared" si="72"/>
        <v>1</v>
      </c>
      <c r="AD307" t="b">
        <f t="shared" si="73"/>
        <v>1</v>
      </c>
      <c r="AE307" t="b">
        <f t="shared" si="74"/>
        <v>1</v>
      </c>
      <c r="AG307" s="1">
        <v>2664617</v>
      </c>
      <c r="AH307" t="s">
        <v>905</v>
      </c>
      <c r="AI307">
        <v>540</v>
      </c>
      <c r="AJ307" t="s">
        <v>503</v>
      </c>
      <c r="AK307" s="2">
        <v>46253</v>
      </c>
      <c r="AL307" s="2">
        <v>46253</v>
      </c>
      <c r="AM307" s="3">
        <v>3</v>
      </c>
      <c r="AN307" t="s">
        <v>20</v>
      </c>
      <c r="AO307" s="3">
        <v>0</v>
      </c>
      <c r="AP307" t="s">
        <v>906</v>
      </c>
      <c r="AR307" t="s">
        <v>595</v>
      </c>
      <c r="AU307" t="s">
        <v>596</v>
      </c>
    </row>
    <row r="308" spans="1:47" x14ac:dyDescent="0.25">
      <c r="A308" s="1">
        <v>2743420</v>
      </c>
      <c r="B308" t="s">
        <v>102</v>
      </c>
      <c r="C308">
        <v>540</v>
      </c>
      <c r="D308" t="s">
        <v>1</v>
      </c>
      <c r="E308" s="2">
        <v>46253</v>
      </c>
      <c r="F308" s="2">
        <v>46253</v>
      </c>
      <c r="G308" s="3">
        <v>1</v>
      </c>
      <c r="H308" t="s">
        <v>20</v>
      </c>
      <c r="I308" s="3">
        <v>450</v>
      </c>
      <c r="J308" t="s">
        <v>103</v>
      </c>
      <c r="K308" t="s">
        <v>4</v>
      </c>
      <c r="L308" t="s">
        <v>108</v>
      </c>
      <c r="M308" t="s">
        <v>6</v>
      </c>
      <c r="N308" t="s">
        <v>7</v>
      </c>
      <c r="O308" t="s">
        <v>7</v>
      </c>
      <c r="Q308" t="b">
        <f t="shared" si="60"/>
        <v>1</v>
      </c>
      <c r="R308" t="b">
        <f t="shared" si="61"/>
        <v>1</v>
      </c>
      <c r="S308" t="b">
        <f t="shared" si="62"/>
        <v>1</v>
      </c>
      <c r="T308" t="b">
        <f t="shared" si="63"/>
        <v>1</v>
      </c>
      <c r="U308" t="b">
        <f t="shared" si="64"/>
        <v>1</v>
      </c>
      <c r="V308" t="b">
        <f t="shared" si="65"/>
        <v>1</v>
      </c>
      <c r="W308" t="b">
        <f t="shared" si="66"/>
        <v>1</v>
      </c>
      <c r="X308" t="b">
        <f t="shared" si="67"/>
        <v>1</v>
      </c>
      <c r="Y308" t="b">
        <f t="shared" si="68"/>
        <v>1</v>
      </c>
      <c r="Z308" t="b">
        <f t="shared" si="69"/>
        <v>1</v>
      </c>
      <c r="AA308" t="b">
        <f t="shared" si="70"/>
        <v>1</v>
      </c>
      <c r="AB308" t="b">
        <f t="shared" si="71"/>
        <v>1</v>
      </c>
      <c r="AC308" t="b">
        <f t="shared" si="72"/>
        <v>1</v>
      </c>
      <c r="AD308" t="b">
        <f t="shared" si="73"/>
        <v>1</v>
      </c>
      <c r="AE308" t="b">
        <f t="shared" si="74"/>
        <v>1</v>
      </c>
      <c r="AG308" s="1">
        <v>2743420</v>
      </c>
      <c r="AH308" t="s">
        <v>589</v>
      </c>
      <c r="AI308">
        <v>540</v>
      </c>
      <c r="AJ308" t="s">
        <v>503</v>
      </c>
      <c r="AK308" s="2">
        <v>46253</v>
      </c>
      <c r="AL308" s="2">
        <v>46253</v>
      </c>
      <c r="AM308" s="3">
        <v>1</v>
      </c>
      <c r="AN308" t="s">
        <v>20</v>
      </c>
      <c r="AO308" s="3">
        <v>450</v>
      </c>
      <c r="AP308" t="s">
        <v>590</v>
      </c>
      <c r="AR308" t="s">
        <v>595</v>
      </c>
    </row>
    <row r="309" spans="1:47" x14ac:dyDescent="0.25">
      <c r="A309" s="1">
        <v>2744703</v>
      </c>
      <c r="B309" t="s">
        <v>0</v>
      </c>
      <c r="C309">
        <v>525</v>
      </c>
      <c r="D309" t="s">
        <v>1</v>
      </c>
      <c r="E309" s="2">
        <v>46253</v>
      </c>
      <c r="F309" s="2">
        <v>46253</v>
      </c>
      <c r="G309" s="3">
        <v>1</v>
      </c>
      <c r="H309" t="s">
        <v>20</v>
      </c>
      <c r="I309" s="3">
        <v>475</v>
      </c>
      <c r="J309" t="s">
        <v>438</v>
      </c>
      <c r="K309" t="s">
        <v>343</v>
      </c>
      <c r="L309" t="s">
        <v>108</v>
      </c>
      <c r="M309" t="s">
        <v>6</v>
      </c>
      <c r="N309" t="s">
        <v>390</v>
      </c>
      <c r="O309" t="s">
        <v>391</v>
      </c>
      <c r="Q309" t="b">
        <f t="shared" si="60"/>
        <v>1</v>
      </c>
      <c r="R309" t="b">
        <f t="shared" si="61"/>
        <v>1</v>
      </c>
      <c r="S309" t="b">
        <f t="shared" si="62"/>
        <v>1</v>
      </c>
      <c r="T309" t="b">
        <f t="shared" si="63"/>
        <v>1</v>
      </c>
      <c r="U309" t="b">
        <f t="shared" si="64"/>
        <v>1</v>
      </c>
      <c r="V309" t="b">
        <f t="shared" si="65"/>
        <v>1</v>
      </c>
      <c r="W309" t="b">
        <f t="shared" si="66"/>
        <v>1</v>
      </c>
      <c r="X309" t="b">
        <f t="shared" si="67"/>
        <v>1</v>
      </c>
      <c r="Y309" t="b">
        <f t="shared" si="68"/>
        <v>1</v>
      </c>
      <c r="Z309" t="b">
        <f t="shared" si="69"/>
        <v>1</v>
      </c>
      <c r="AA309" t="b">
        <f t="shared" si="70"/>
        <v>1</v>
      </c>
      <c r="AB309" t="b">
        <f t="shared" si="71"/>
        <v>1</v>
      </c>
      <c r="AC309" t="b">
        <f t="shared" si="72"/>
        <v>1</v>
      </c>
      <c r="AD309" t="b">
        <f t="shared" si="73"/>
        <v>1</v>
      </c>
      <c r="AE309" t="b">
        <f t="shared" si="74"/>
        <v>1</v>
      </c>
      <c r="AG309" s="1">
        <v>2744703</v>
      </c>
      <c r="AH309" t="s">
        <v>502</v>
      </c>
      <c r="AI309">
        <v>525</v>
      </c>
      <c r="AJ309" t="s">
        <v>503</v>
      </c>
      <c r="AK309" s="2">
        <v>46253</v>
      </c>
      <c r="AL309" s="2">
        <v>46253</v>
      </c>
      <c r="AM309" s="3">
        <v>1</v>
      </c>
      <c r="AN309" t="s">
        <v>20</v>
      </c>
      <c r="AO309" s="3">
        <v>475</v>
      </c>
      <c r="AP309" t="s">
        <v>907</v>
      </c>
      <c r="AQ309" t="s">
        <v>343</v>
      </c>
      <c r="AR309" t="s">
        <v>595</v>
      </c>
      <c r="AT309" t="s">
        <v>860</v>
      </c>
      <c r="AU309" t="s">
        <v>861</v>
      </c>
    </row>
    <row r="310" spans="1:47" x14ac:dyDescent="0.25">
      <c r="A310" s="1">
        <v>2569174</v>
      </c>
      <c r="B310" t="s">
        <v>19</v>
      </c>
      <c r="C310">
        <v>540</v>
      </c>
      <c r="D310" t="s">
        <v>1</v>
      </c>
      <c r="E310" s="2">
        <v>46254</v>
      </c>
      <c r="F310" s="2">
        <v>46254</v>
      </c>
      <c r="G310" s="3">
        <v>80</v>
      </c>
      <c r="H310" t="s">
        <v>20</v>
      </c>
      <c r="I310" s="3">
        <v>36000</v>
      </c>
      <c r="J310" t="s">
        <v>21</v>
      </c>
      <c r="K310" t="s">
        <v>4</v>
      </c>
      <c r="L310" t="s">
        <v>22</v>
      </c>
      <c r="M310" t="s">
        <v>6</v>
      </c>
      <c r="N310" t="s">
        <v>7</v>
      </c>
      <c r="O310" t="s">
        <v>7</v>
      </c>
      <c r="Q310" t="b">
        <f t="shared" si="60"/>
        <v>1</v>
      </c>
      <c r="R310" t="b">
        <f t="shared" si="61"/>
        <v>1</v>
      </c>
      <c r="S310" t="b">
        <f t="shared" si="62"/>
        <v>1</v>
      </c>
      <c r="T310" t="b">
        <f t="shared" si="63"/>
        <v>1</v>
      </c>
      <c r="U310" t="b">
        <f t="shared" si="64"/>
        <v>1</v>
      </c>
      <c r="V310" t="b">
        <f t="shared" si="65"/>
        <v>1</v>
      </c>
      <c r="W310" t="b">
        <f t="shared" si="66"/>
        <v>1</v>
      </c>
      <c r="X310" t="b">
        <f t="shared" si="67"/>
        <v>1</v>
      </c>
      <c r="Y310" t="b">
        <f t="shared" si="68"/>
        <v>1</v>
      </c>
      <c r="Z310" t="b">
        <f t="shared" si="69"/>
        <v>1</v>
      </c>
      <c r="AA310" t="b">
        <f t="shared" si="70"/>
        <v>1</v>
      </c>
      <c r="AB310" t="b">
        <f t="shared" si="71"/>
        <v>1</v>
      </c>
      <c r="AC310" t="b">
        <f t="shared" si="72"/>
        <v>1</v>
      </c>
      <c r="AD310" t="b">
        <f t="shared" si="73"/>
        <v>1</v>
      </c>
      <c r="AE310" t="b">
        <f t="shared" si="74"/>
        <v>1</v>
      </c>
      <c r="AG310" s="1">
        <v>2569174</v>
      </c>
      <c r="AH310" t="s">
        <v>514</v>
      </c>
      <c r="AI310">
        <v>540</v>
      </c>
      <c r="AJ310" t="s">
        <v>503</v>
      </c>
      <c r="AK310" s="2">
        <v>46254</v>
      </c>
      <c r="AL310" s="2">
        <v>46254</v>
      </c>
      <c r="AM310" s="3">
        <v>80</v>
      </c>
      <c r="AN310" t="s">
        <v>20</v>
      </c>
      <c r="AO310" s="3">
        <v>36000</v>
      </c>
      <c r="AP310" t="s">
        <v>515</v>
      </c>
      <c r="AR310" t="s">
        <v>516</v>
      </c>
    </row>
    <row r="311" spans="1:47" x14ac:dyDescent="0.25">
      <c r="A311" s="1">
        <v>2733551</v>
      </c>
      <c r="B311" t="s">
        <v>439</v>
      </c>
      <c r="C311">
        <v>540</v>
      </c>
      <c r="D311" t="s">
        <v>1</v>
      </c>
      <c r="E311" s="2">
        <v>46255</v>
      </c>
      <c r="F311" s="2">
        <v>46255</v>
      </c>
      <c r="G311" s="3">
        <v>5</v>
      </c>
      <c r="H311" t="s">
        <v>20</v>
      </c>
      <c r="I311" s="3">
        <v>2250</v>
      </c>
      <c r="J311" t="s">
        <v>94</v>
      </c>
      <c r="K311" t="s">
        <v>4</v>
      </c>
      <c r="L311" t="s">
        <v>108</v>
      </c>
      <c r="M311" t="s">
        <v>6</v>
      </c>
      <c r="N311" t="s">
        <v>7</v>
      </c>
      <c r="O311" t="s">
        <v>440</v>
      </c>
      <c r="Q311" t="b">
        <f t="shared" si="60"/>
        <v>1</v>
      </c>
      <c r="R311" t="b">
        <f t="shared" si="61"/>
        <v>1</v>
      </c>
      <c r="S311" t="b">
        <f t="shared" si="62"/>
        <v>1</v>
      </c>
      <c r="T311" t="b">
        <f t="shared" si="63"/>
        <v>1</v>
      </c>
      <c r="U311" t="b">
        <f t="shared" si="64"/>
        <v>1</v>
      </c>
      <c r="V311" t="b">
        <f t="shared" si="65"/>
        <v>1</v>
      </c>
      <c r="W311" t="b">
        <f t="shared" si="66"/>
        <v>1</v>
      </c>
      <c r="X311" t="b">
        <f t="shared" si="67"/>
        <v>1</v>
      </c>
      <c r="Y311" t="b">
        <f t="shared" si="68"/>
        <v>1</v>
      </c>
      <c r="Z311" t="b">
        <f t="shared" si="69"/>
        <v>1</v>
      </c>
      <c r="AA311" t="b">
        <f t="shared" si="70"/>
        <v>1</v>
      </c>
      <c r="AB311" t="b">
        <f t="shared" si="71"/>
        <v>1</v>
      </c>
      <c r="AC311" t="b">
        <f t="shared" si="72"/>
        <v>1</v>
      </c>
      <c r="AD311" t="b">
        <f t="shared" si="73"/>
        <v>1</v>
      </c>
      <c r="AE311" t="b">
        <f t="shared" si="74"/>
        <v>1</v>
      </c>
      <c r="AG311" s="1">
        <v>2733551</v>
      </c>
      <c r="AH311" t="s">
        <v>908</v>
      </c>
      <c r="AI311">
        <v>540</v>
      </c>
      <c r="AJ311" t="s">
        <v>503</v>
      </c>
      <c r="AK311" s="2">
        <v>46255</v>
      </c>
      <c r="AL311" s="2">
        <v>46255</v>
      </c>
      <c r="AM311" s="3">
        <v>5</v>
      </c>
      <c r="AN311" t="s">
        <v>20</v>
      </c>
      <c r="AO311" s="3">
        <v>2250</v>
      </c>
      <c r="AP311" t="s">
        <v>581</v>
      </c>
      <c r="AR311" t="s">
        <v>595</v>
      </c>
      <c r="AU311" t="s">
        <v>909</v>
      </c>
    </row>
    <row r="312" spans="1:47" x14ac:dyDescent="0.25">
      <c r="A312" s="1">
        <v>2645790</v>
      </c>
      <c r="B312" t="s">
        <v>26</v>
      </c>
      <c r="C312">
        <v>540</v>
      </c>
      <c r="D312" t="s">
        <v>1</v>
      </c>
      <c r="E312" s="2">
        <v>46258</v>
      </c>
      <c r="F312" s="2">
        <v>46258</v>
      </c>
      <c r="G312" s="3">
        <v>7</v>
      </c>
      <c r="H312" t="s">
        <v>11</v>
      </c>
      <c r="I312" s="3">
        <v>15435</v>
      </c>
      <c r="J312" t="s">
        <v>441</v>
      </c>
      <c r="K312" t="s">
        <v>29</v>
      </c>
      <c r="L312" t="s">
        <v>30</v>
      </c>
      <c r="M312" t="s">
        <v>6</v>
      </c>
      <c r="N312" t="s">
        <v>7</v>
      </c>
      <c r="O312" t="s">
        <v>31</v>
      </c>
      <c r="Q312" t="b">
        <f t="shared" si="60"/>
        <v>1</v>
      </c>
      <c r="R312" t="b">
        <f t="shared" si="61"/>
        <v>1</v>
      </c>
      <c r="S312" t="b">
        <f t="shared" si="62"/>
        <v>1</v>
      </c>
      <c r="T312" t="b">
        <f t="shared" si="63"/>
        <v>1</v>
      </c>
      <c r="U312" t="b">
        <f t="shared" si="64"/>
        <v>1</v>
      </c>
      <c r="V312" t="b">
        <f t="shared" si="65"/>
        <v>1</v>
      </c>
      <c r="W312" t="b">
        <f t="shared" si="66"/>
        <v>1</v>
      </c>
      <c r="X312" t="b">
        <f t="shared" si="67"/>
        <v>1</v>
      </c>
      <c r="Y312" t="b">
        <f t="shared" si="68"/>
        <v>1</v>
      </c>
      <c r="Z312" t="b">
        <f t="shared" si="69"/>
        <v>1</v>
      </c>
      <c r="AA312" t="b">
        <f t="shared" si="70"/>
        <v>1</v>
      </c>
      <c r="AB312" t="b">
        <f t="shared" si="71"/>
        <v>1</v>
      </c>
      <c r="AC312" t="b">
        <f t="shared" si="72"/>
        <v>1</v>
      </c>
      <c r="AD312" t="b">
        <f t="shared" si="73"/>
        <v>1</v>
      </c>
      <c r="AE312" t="b">
        <f t="shared" si="74"/>
        <v>1</v>
      </c>
      <c r="AG312" s="1">
        <v>2645790</v>
      </c>
      <c r="AH312" t="s">
        <v>519</v>
      </c>
      <c r="AI312">
        <v>540</v>
      </c>
      <c r="AJ312" t="s">
        <v>503</v>
      </c>
      <c r="AK312" s="2">
        <v>46258</v>
      </c>
      <c r="AL312" s="2">
        <v>46258</v>
      </c>
      <c r="AM312" s="3">
        <v>7</v>
      </c>
      <c r="AN312" t="s">
        <v>11</v>
      </c>
      <c r="AO312" s="3">
        <v>15435</v>
      </c>
      <c r="AP312" t="s">
        <v>910</v>
      </c>
      <c r="AQ312" t="s">
        <v>29</v>
      </c>
      <c r="AR312" t="s">
        <v>521</v>
      </c>
      <c r="AU312" t="s">
        <v>522</v>
      </c>
    </row>
    <row r="313" spans="1:47" x14ac:dyDescent="0.25">
      <c r="A313" s="1">
        <v>2668917</v>
      </c>
      <c r="B313" t="s">
        <v>287</v>
      </c>
      <c r="C313">
        <v>540</v>
      </c>
      <c r="D313" t="s">
        <v>1</v>
      </c>
      <c r="E313" s="2">
        <v>46258</v>
      </c>
      <c r="F313" s="2">
        <v>46258</v>
      </c>
      <c r="G313" s="3">
        <v>12</v>
      </c>
      <c r="H313" t="s">
        <v>20</v>
      </c>
      <c r="I313" s="3">
        <v>5400</v>
      </c>
      <c r="J313" t="s">
        <v>105</v>
      </c>
      <c r="K313" t="s">
        <v>4</v>
      </c>
      <c r="L313" t="s">
        <v>30</v>
      </c>
      <c r="M313" t="s">
        <v>6</v>
      </c>
      <c r="N313" t="s">
        <v>231</v>
      </c>
      <c r="O313" t="s">
        <v>7</v>
      </c>
      <c r="Q313" t="b">
        <f t="shared" si="60"/>
        <v>1</v>
      </c>
      <c r="R313" t="b">
        <f t="shared" si="61"/>
        <v>1</v>
      </c>
      <c r="S313" t="b">
        <f t="shared" si="62"/>
        <v>1</v>
      </c>
      <c r="T313" t="b">
        <f t="shared" si="63"/>
        <v>1</v>
      </c>
      <c r="U313" t="b">
        <f t="shared" si="64"/>
        <v>1</v>
      </c>
      <c r="V313" t="b">
        <f t="shared" si="65"/>
        <v>1</v>
      </c>
      <c r="W313" t="b">
        <f t="shared" si="66"/>
        <v>1</v>
      </c>
      <c r="X313" t="b">
        <f t="shared" si="67"/>
        <v>1</v>
      </c>
      <c r="Y313" t="b">
        <f t="shared" si="68"/>
        <v>1</v>
      </c>
      <c r="Z313" t="b">
        <f t="shared" si="69"/>
        <v>1</v>
      </c>
      <c r="AA313" t="b">
        <f t="shared" si="70"/>
        <v>1</v>
      </c>
      <c r="AB313" t="b">
        <f t="shared" si="71"/>
        <v>1</v>
      </c>
      <c r="AC313" t="b">
        <f t="shared" si="72"/>
        <v>1</v>
      </c>
      <c r="AD313" t="b">
        <f t="shared" si="73"/>
        <v>1</v>
      </c>
      <c r="AE313" t="b">
        <f t="shared" si="74"/>
        <v>1</v>
      </c>
      <c r="AG313" s="1">
        <v>2668917</v>
      </c>
      <c r="AH313" t="s">
        <v>763</v>
      </c>
      <c r="AI313">
        <v>540</v>
      </c>
      <c r="AJ313" t="s">
        <v>503</v>
      </c>
      <c r="AK313" s="2">
        <v>46258</v>
      </c>
      <c r="AL313" s="2">
        <v>46258</v>
      </c>
      <c r="AM313" s="3">
        <v>12</v>
      </c>
      <c r="AN313" t="s">
        <v>20</v>
      </c>
      <c r="AO313" s="3">
        <v>5400</v>
      </c>
      <c r="AP313" t="s">
        <v>592</v>
      </c>
      <c r="AR313" t="s">
        <v>521</v>
      </c>
      <c r="AT313" t="s">
        <v>710</v>
      </c>
    </row>
    <row r="314" spans="1:47" x14ac:dyDescent="0.25">
      <c r="A314" s="1">
        <v>2713374</v>
      </c>
      <c r="B314" t="s">
        <v>442</v>
      </c>
      <c r="C314">
        <v>540</v>
      </c>
      <c r="D314" t="s">
        <v>1</v>
      </c>
      <c r="E314" s="2">
        <v>46258</v>
      </c>
      <c r="F314" s="2">
        <v>46258</v>
      </c>
      <c r="G314" s="3">
        <v>15</v>
      </c>
      <c r="H314" t="s">
        <v>11</v>
      </c>
      <c r="I314" s="3">
        <v>39000</v>
      </c>
      <c r="J314" t="s">
        <v>62</v>
      </c>
      <c r="K314" t="s">
        <v>4</v>
      </c>
      <c r="L314" t="s">
        <v>30</v>
      </c>
      <c r="M314" t="s">
        <v>6</v>
      </c>
      <c r="N314" t="s">
        <v>7</v>
      </c>
      <c r="O314" t="s">
        <v>7</v>
      </c>
      <c r="Q314" t="b">
        <f t="shared" si="60"/>
        <v>1</v>
      </c>
      <c r="R314" t="b">
        <f t="shared" si="61"/>
        <v>1</v>
      </c>
      <c r="S314" t="b">
        <f t="shared" si="62"/>
        <v>1</v>
      </c>
      <c r="T314" t="b">
        <f t="shared" si="63"/>
        <v>1</v>
      </c>
      <c r="U314" t="b">
        <f t="shared" si="64"/>
        <v>1</v>
      </c>
      <c r="V314" t="b">
        <f t="shared" si="65"/>
        <v>1</v>
      </c>
      <c r="W314" t="b">
        <f t="shared" si="66"/>
        <v>1</v>
      </c>
      <c r="X314" t="b">
        <f t="shared" si="67"/>
        <v>1</v>
      </c>
      <c r="Y314" t="b">
        <f t="shared" si="68"/>
        <v>1</v>
      </c>
      <c r="Z314" t="b">
        <f t="shared" si="69"/>
        <v>1</v>
      </c>
      <c r="AA314" t="b">
        <f t="shared" si="70"/>
        <v>1</v>
      </c>
      <c r="AB314" t="b">
        <f t="shared" si="71"/>
        <v>1</v>
      </c>
      <c r="AC314" t="b">
        <f t="shared" si="72"/>
        <v>1</v>
      </c>
      <c r="AD314" t="b">
        <f t="shared" si="73"/>
        <v>1</v>
      </c>
      <c r="AE314" t="b">
        <f t="shared" si="74"/>
        <v>1</v>
      </c>
      <c r="AG314" s="1">
        <v>2713374</v>
      </c>
      <c r="AH314" t="s">
        <v>911</v>
      </c>
      <c r="AI314">
        <v>540</v>
      </c>
      <c r="AJ314" t="s">
        <v>503</v>
      </c>
      <c r="AK314" s="2">
        <v>46258</v>
      </c>
      <c r="AL314" s="2">
        <v>46258</v>
      </c>
      <c r="AM314" s="3">
        <v>15</v>
      </c>
      <c r="AN314" t="s">
        <v>11</v>
      </c>
      <c r="AO314" s="3">
        <v>39000</v>
      </c>
      <c r="AP314" t="s">
        <v>550</v>
      </c>
      <c r="AR314" t="s">
        <v>521</v>
      </c>
    </row>
    <row r="315" spans="1:47" x14ac:dyDescent="0.25">
      <c r="A315" s="1">
        <v>2718752</v>
      </c>
      <c r="B315" t="s">
        <v>443</v>
      </c>
      <c r="C315">
        <v>540</v>
      </c>
      <c r="D315" t="s">
        <v>1</v>
      </c>
      <c r="E315" s="2">
        <v>46258</v>
      </c>
      <c r="F315" s="2">
        <v>46258</v>
      </c>
      <c r="G315" s="3">
        <v>2</v>
      </c>
      <c r="H315" t="s">
        <v>20</v>
      </c>
      <c r="I315" s="3">
        <v>0</v>
      </c>
      <c r="J315" t="s">
        <v>444</v>
      </c>
      <c r="K315" t="s">
        <v>4</v>
      </c>
      <c r="L315" t="s">
        <v>108</v>
      </c>
      <c r="M315" t="s">
        <v>6</v>
      </c>
      <c r="N315" t="s">
        <v>445</v>
      </c>
      <c r="O315" t="s">
        <v>446</v>
      </c>
      <c r="Q315" t="b">
        <f t="shared" si="60"/>
        <v>1</v>
      </c>
      <c r="R315" t="b">
        <f t="shared" si="61"/>
        <v>1</v>
      </c>
      <c r="S315" t="b">
        <f t="shared" si="62"/>
        <v>1</v>
      </c>
      <c r="T315" t="b">
        <f t="shared" si="63"/>
        <v>1</v>
      </c>
      <c r="U315" t="b">
        <f t="shared" si="64"/>
        <v>1</v>
      </c>
      <c r="V315" t="b">
        <f t="shared" si="65"/>
        <v>1</v>
      </c>
      <c r="W315" t="b">
        <f t="shared" si="66"/>
        <v>1</v>
      </c>
      <c r="X315" t="b">
        <f t="shared" si="67"/>
        <v>1</v>
      </c>
      <c r="Y315" t="b">
        <f t="shared" si="68"/>
        <v>1</v>
      </c>
      <c r="Z315" t="b">
        <f t="shared" si="69"/>
        <v>1</v>
      </c>
      <c r="AA315" t="b">
        <f t="shared" si="70"/>
        <v>1</v>
      </c>
      <c r="AB315" t="b">
        <f t="shared" si="71"/>
        <v>1</v>
      </c>
      <c r="AC315" t="b">
        <f t="shared" si="72"/>
        <v>1</v>
      </c>
      <c r="AD315" t="b">
        <f t="shared" si="73"/>
        <v>1</v>
      </c>
      <c r="AE315" t="b">
        <f t="shared" si="74"/>
        <v>1</v>
      </c>
      <c r="AG315" s="1">
        <v>2718752</v>
      </c>
      <c r="AH315" t="s">
        <v>912</v>
      </c>
      <c r="AI315">
        <v>540</v>
      </c>
      <c r="AJ315" t="s">
        <v>503</v>
      </c>
      <c r="AK315" s="2">
        <v>46258</v>
      </c>
      <c r="AL315" s="2">
        <v>46258</v>
      </c>
      <c r="AM315" s="3">
        <v>2</v>
      </c>
      <c r="AN315" t="s">
        <v>20</v>
      </c>
      <c r="AO315" s="3">
        <v>0</v>
      </c>
      <c r="AP315" t="s">
        <v>913</v>
      </c>
      <c r="AR315" t="s">
        <v>595</v>
      </c>
      <c r="AT315" t="s">
        <v>914</v>
      </c>
      <c r="AU315" t="s">
        <v>915</v>
      </c>
    </row>
    <row r="316" spans="1:47" x14ac:dyDescent="0.25">
      <c r="A316" s="1">
        <v>2718785</v>
      </c>
      <c r="B316" t="s">
        <v>168</v>
      </c>
      <c r="C316">
        <v>540</v>
      </c>
      <c r="D316" t="s">
        <v>1</v>
      </c>
      <c r="E316" s="2">
        <v>46258</v>
      </c>
      <c r="F316" s="2">
        <v>46258</v>
      </c>
      <c r="G316" s="3">
        <v>3</v>
      </c>
      <c r="H316" t="s">
        <v>20</v>
      </c>
      <c r="I316" s="3">
        <v>1425</v>
      </c>
      <c r="J316" t="s">
        <v>85</v>
      </c>
      <c r="K316" t="s">
        <v>4</v>
      </c>
      <c r="L316" t="s">
        <v>108</v>
      </c>
      <c r="M316" t="s">
        <v>6</v>
      </c>
      <c r="N316" t="s">
        <v>7</v>
      </c>
      <c r="O316" t="s">
        <v>7</v>
      </c>
      <c r="Q316" t="b">
        <f t="shared" si="60"/>
        <v>1</v>
      </c>
      <c r="R316" t="b">
        <f t="shared" si="61"/>
        <v>1</v>
      </c>
      <c r="S316" t="b">
        <f t="shared" si="62"/>
        <v>1</v>
      </c>
      <c r="T316" t="b">
        <f t="shared" si="63"/>
        <v>1</v>
      </c>
      <c r="U316" t="b">
        <f t="shared" si="64"/>
        <v>1</v>
      </c>
      <c r="V316" t="b">
        <f t="shared" si="65"/>
        <v>1</v>
      </c>
      <c r="W316" t="b">
        <f t="shared" si="66"/>
        <v>1</v>
      </c>
      <c r="X316" t="b">
        <f t="shared" si="67"/>
        <v>1</v>
      </c>
      <c r="Y316" t="b">
        <f t="shared" si="68"/>
        <v>1</v>
      </c>
      <c r="Z316" t="b">
        <f t="shared" si="69"/>
        <v>1</v>
      </c>
      <c r="AA316" t="b">
        <f t="shared" si="70"/>
        <v>1</v>
      </c>
      <c r="AB316" t="b">
        <f t="shared" si="71"/>
        <v>1</v>
      </c>
      <c r="AC316" t="b">
        <f t="shared" si="72"/>
        <v>1</v>
      </c>
      <c r="AD316" t="b">
        <f t="shared" si="73"/>
        <v>1</v>
      </c>
      <c r="AE316" t="b">
        <f t="shared" si="74"/>
        <v>1</v>
      </c>
      <c r="AG316" s="1">
        <v>2718785</v>
      </c>
      <c r="AH316" t="s">
        <v>651</v>
      </c>
      <c r="AI316">
        <v>540</v>
      </c>
      <c r="AJ316" t="s">
        <v>503</v>
      </c>
      <c r="AK316" s="2">
        <v>46258</v>
      </c>
      <c r="AL316" s="2">
        <v>46258</v>
      </c>
      <c r="AM316" s="3">
        <v>3</v>
      </c>
      <c r="AN316" t="s">
        <v>20</v>
      </c>
      <c r="AO316" s="3">
        <v>1425</v>
      </c>
      <c r="AP316" t="s">
        <v>572</v>
      </c>
      <c r="AR316" t="s">
        <v>595</v>
      </c>
    </row>
    <row r="317" spans="1:47" x14ac:dyDescent="0.25">
      <c r="A317" s="1">
        <v>2737493</v>
      </c>
      <c r="B317" t="s">
        <v>359</v>
      </c>
      <c r="C317">
        <v>540</v>
      </c>
      <c r="D317" t="s">
        <v>1</v>
      </c>
      <c r="E317" s="2">
        <v>46258</v>
      </c>
      <c r="F317" s="2">
        <v>46258</v>
      </c>
      <c r="G317" s="3">
        <v>1</v>
      </c>
      <c r="H317" t="s">
        <v>20</v>
      </c>
      <c r="I317" s="3">
        <v>440</v>
      </c>
      <c r="J317" t="s">
        <v>360</v>
      </c>
      <c r="K317" t="s">
        <v>4</v>
      </c>
      <c r="L317" t="s">
        <v>40</v>
      </c>
      <c r="M317" t="s">
        <v>6</v>
      </c>
      <c r="N317" t="s">
        <v>7</v>
      </c>
      <c r="O317" t="s">
        <v>7</v>
      </c>
      <c r="Q317" t="b">
        <f t="shared" si="60"/>
        <v>1</v>
      </c>
      <c r="R317" t="b">
        <f t="shared" si="61"/>
        <v>1</v>
      </c>
      <c r="S317" t="b">
        <f t="shared" si="62"/>
        <v>1</v>
      </c>
      <c r="T317" t="b">
        <f t="shared" si="63"/>
        <v>1</v>
      </c>
      <c r="U317" t="b">
        <f t="shared" si="64"/>
        <v>1</v>
      </c>
      <c r="V317" t="b">
        <f t="shared" si="65"/>
        <v>1</v>
      </c>
      <c r="W317" t="b">
        <f t="shared" si="66"/>
        <v>1</v>
      </c>
      <c r="X317" t="b">
        <f t="shared" si="67"/>
        <v>1</v>
      </c>
      <c r="Y317" t="b">
        <f t="shared" si="68"/>
        <v>1</v>
      </c>
      <c r="Z317" t="b">
        <f t="shared" si="69"/>
        <v>1</v>
      </c>
      <c r="AA317" t="b">
        <f t="shared" si="70"/>
        <v>1</v>
      </c>
      <c r="AB317" t="b">
        <f t="shared" si="71"/>
        <v>1</v>
      </c>
      <c r="AC317" t="b">
        <f t="shared" si="72"/>
        <v>1</v>
      </c>
      <c r="AD317" t="b">
        <f t="shared" si="73"/>
        <v>1</v>
      </c>
      <c r="AE317" t="b">
        <f t="shared" si="74"/>
        <v>1</v>
      </c>
      <c r="AG317" s="1">
        <v>2737493</v>
      </c>
      <c r="AH317" t="s">
        <v>829</v>
      </c>
      <c r="AI317">
        <v>540</v>
      </c>
      <c r="AJ317" t="s">
        <v>503</v>
      </c>
      <c r="AK317" s="2">
        <v>46258</v>
      </c>
      <c r="AL317" s="2">
        <v>46258</v>
      </c>
      <c r="AM317" s="3">
        <v>1</v>
      </c>
      <c r="AN317" t="s">
        <v>20</v>
      </c>
      <c r="AO317" s="3">
        <v>440</v>
      </c>
      <c r="AP317" t="s">
        <v>830</v>
      </c>
      <c r="AR317" t="s">
        <v>531</v>
      </c>
    </row>
    <row r="318" spans="1:47" x14ac:dyDescent="0.25">
      <c r="A318" s="1">
        <v>2695877</v>
      </c>
      <c r="B318" t="s">
        <v>370</v>
      </c>
      <c r="C318">
        <v>540</v>
      </c>
      <c r="D318" t="s">
        <v>1</v>
      </c>
      <c r="E318" s="2">
        <v>46259</v>
      </c>
      <c r="F318" s="2">
        <v>46259</v>
      </c>
      <c r="G318" s="3">
        <v>48</v>
      </c>
      <c r="H318" t="s">
        <v>20</v>
      </c>
      <c r="I318" s="3">
        <v>20400</v>
      </c>
      <c r="J318" t="s">
        <v>371</v>
      </c>
      <c r="K318" t="s">
        <v>4</v>
      </c>
      <c r="L318" t="s">
        <v>30</v>
      </c>
      <c r="M318" t="s">
        <v>6</v>
      </c>
      <c r="N318" t="s">
        <v>372</v>
      </c>
      <c r="O318" t="s">
        <v>7</v>
      </c>
      <c r="Q318" t="b">
        <f t="shared" si="60"/>
        <v>1</v>
      </c>
      <c r="R318" t="b">
        <f t="shared" si="61"/>
        <v>1</v>
      </c>
      <c r="S318" t="b">
        <f t="shared" si="62"/>
        <v>1</v>
      </c>
      <c r="T318" t="b">
        <f t="shared" si="63"/>
        <v>1</v>
      </c>
      <c r="U318" t="b">
        <f t="shared" si="64"/>
        <v>1</v>
      </c>
      <c r="V318" t="b">
        <f t="shared" si="65"/>
        <v>1</v>
      </c>
      <c r="W318" t="b">
        <f t="shared" si="66"/>
        <v>1</v>
      </c>
      <c r="X318" t="b">
        <f t="shared" si="67"/>
        <v>1</v>
      </c>
      <c r="Y318" t="b">
        <f t="shared" si="68"/>
        <v>1</v>
      </c>
      <c r="Z318" t="b">
        <f t="shared" si="69"/>
        <v>1</v>
      </c>
      <c r="AA318" t="b">
        <f t="shared" si="70"/>
        <v>1</v>
      </c>
      <c r="AB318" t="b">
        <f t="shared" si="71"/>
        <v>1</v>
      </c>
      <c r="AC318" t="b">
        <f t="shared" si="72"/>
        <v>1</v>
      </c>
      <c r="AD318" t="b">
        <f t="shared" si="73"/>
        <v>1</v>
      </c>
      <c r="AE318" t="b">
        <f t="shared" si="74"/>
        <v>1</v>
      </c>
      <c r="AG318" s="1">
        <v>2695877</v>
      </c>
      <c r="AH318" t="s">
        <v>840</v>
      </c>
      <c r="AI318">
        <v>540</v>
      </c>
      <c r="AJ318" t="s">
        <v>503</v>
      </c>
      <c r="AK318" s="2">
        <v>46259</v>
      </c>
      <c r="AL318" s="2">
        <v>46259</v>
      </c>
      <c r="AM318" s="3">
        <v>48</v>
      </c>
      <c r="AN318" t="s">
        <v>20</v>
      </c>
      <c r="AO318" s="3">
        <v>20400</v>
      </c>
      <c r="AP318" t="s">
        <v>841</v>
      </c>
      <c r="AR318" t="s">
        <v>521</v>
      </c>
      <c r="AT318" t="s">
        <v>842</v>
      </c>
    </row>
    <row r="319" spans="1:47" x14ac:dyDescent="0.25">
      <c r="A319" s="1">
        <v>2734599</v>
      </c>
      <c r="B319" t="s">
        <v>169</v>
      </c>
      <c r="C319">
        <v>540</v>
      </c>
      <c r="D319" t="s">
        <v>1</v>
      </c>
      <c r="E319" s="2">
        <v>46259</v>
      </c>
      <c r="F319" s="2">
        <v>46259</v>
      </c>
      <c r="G319" s="3">
        <v>6</v>
      </c>
      <c r="H319" t="s">
        <v>11</v>
      </c>
      <c r="I319" s="3">
        <v>13200</v>
      </c>
      <c r="J319" t="s">
        <v>170</v>
      </c>
      <c r="K319" t="s">
        <v>4</v>
      </c>
      <c r="L319" t="s">
        <v>37</v>
      </c>
      <c r="M319" t="s">
        <v>6</v>
      </c>
      <c r="N319" t="s">
        <v>171</v>
      </c>
      <c r="O319" t="s">
        <v>7</v>
      </c>
      <c r="Q319" t="b">
        <f t="shared" si="60"/>
        <v>1</v>
      </c>
      <c r="R319" t="b">
        <f t="shared" si="61"/>
        <v>1</v>
      </c>
      <c r="S319" t="b">
        <f t="shared" si="62"/>
        <v>1</v>
      </c>
      <c r="T319" t="b">
        <f t="shared" si="63"/>
        <v>1</v>
      </c>
      <c r="U319" t="b">
        <f t="shared" si="64"/>
        <v>1</v>
      </c>
      <c r="V319" t="b">
        <f t="shared" si="65"/>
        <v>1</v>
      </c>
      <c r="W319" t="b">
        <f t="shared" si="66"/>
        <v>1</v>
      </c>
      <c r="X319" t="b">
        <f t="shared" si="67"/>
        <v>1</v>
      </c>
      <c r="Y319" t="b">
        <f t="shared" si="68"/>
        <v>1</v>
      </c>
      <c r="Z319" t="b">
        <f t="shared" si="69"/>
        <v>1</v>
      </c>
      <c r="AA319" t="b">
        <f t="shared" si="70"/>
        <v>1</v>
      </c>
      <c r="AB319" t="b">
        <f t="shared" si="71"/>
        <v>1</v>
      </c>
      <c r="AC319" t="b">
        <f t="shared" si="72"/>
        <v>1</v>
      </c>
      <c r="AD319" t="b">
        <f t="shared" si="73"/>
        <v>1</v>
      </c>
      <c r="AE319" t="b">
        <f t="shared" si="74"/>
        <v>1</v>
      </c>
      <c r="AG319" s="1">
        <v>2734599</v>
      </c>
      <c r="AH319" t="s">
        <v>652</v>
      </c>
      <c r="AI319">
        <v>540</v>
      </c>
      <c r="AJ319" t="s">
        <v>503</v>
      </c>
      <c r="AK319" s="2">
        <v>46259</v>
      </c>
      <c r="AL319" s="2">
        <v>46259</v>
      </c>
      <c r="AM319" s="3">
        <v>6</v>
      </c>
      <c r="AN319" t="s">
        <v>11</v>
      </c>
      <c r="AO319" s="3">
        <v>13200</v>
      </c>
      <c r="AP319" t="s">
        <v>653</v>
      </c>
      <c r="AR319" t="s">
        <v>528</v>
      </c>
      <c r="AT319" t="s">
        <v>654</v>
      </c>
    </row>
    <row r="320" spans="1:47" x14ac:dyDescent="0.25">
      <c r="A320" s="1">
        <v>2739026</v>
      </c>
      <c r="B320" t="s">
        <v>69</v>
      </c>
      <c r="C320">
        <v>525</v>
      </c>
      <c r="D320" t="s">
        <v>1</v>
      </c>
      <c r="E320" s="2">
        <v>46259</v>
      </c>
      <c r="F320" s="2">
        <v>46259</v>
      </c>
      <c r="G320" s="3">
        <v>1</v>
      </c>
      <c r="H320" t="s">
        <v>20</v>
      </c>
      <c r="I320" s="3">
        <v>450</v>
      </c>
      <c r="J320" t="s">
        <v>447</v>
      </c>
      <c r="K320" t="s">
        <v>2</v>
      </c>
      <c r="L320" t="s">
        <v>37</v>
      </c>
      <c r="M320" t="s">
        <v>6</v>
      </c>
      <c r="N320" t="s">
        <v>71</v>
      </c>
      <c r="O320" t="s">
        <v>7</v>
      </c>
      <c r="Q320" t="b">
        <f t="shared" si="60"/>
        <v>1</v>
      </c>
      <c r="R320" t="b">
        <f t="shared" si="61"/>
        <v>1</v>
      </c>
      <c r="S320" t="b">
        <f t="shared" si="62"/>
        <v>1</v>
      </c>
      <c r="T320" t="b">
        <f t="shared" si="63"/>
        <v>1</v>
      </c>
      <c r="U320" t="b">
        <f t="shared" si="64"/>
        <v>1</v>
      </c>
      <c r="V320" t="b">
        <f t="shared" si="65"/>
        <v>1</v>
      </c>
      <c r="W320" t="b">
        <f t="shared" si="66"/>
        <v>1</v>
      </c>
      <c r="X320" t="b">
        <f t="shared" si="67"/>
        <v>1</v>
      </c>
      <c r="Y320" t="b">
        <f t="shared" si="68"/>
        <v>1</v>
      </c>
      <c r="Z320" t="b">
        <f t="shared" si="69"/>
        <v>1</v>
      </c>
      <c r="AA320" t="b">
        <f t="shared" si="70"/>
        <v>1</v>
      </c>
      <c r="AB320" t="b">
        <f t="shared" si="71"/>
        <v>1</v>
      </c>
      <c r="AC320" t="b">
        <f t="shared" si="72"/>
        <v>1</v>
      </c>
      <c r="AD320" t="b">
        <f t="shared" si="73"/>
        <v>1</v>
      </c>
      <c r="AE320" t="b">
        <f t="shared" si="74"/>
        <v>1</v>
      </c>
      <c r="AG320" s="1">
        <v>2739026</v>
      </c>
      <c r="AH320" t="s">
        <v>557</v>
      </c>
      <c r="AI320">
        <v>525</v>
      </c>
      <c r="AJ320" t="s">
        <v>503</v>
      </c>
      <c r="AK320" s="2">
        <v>46259</v>
      </c>
      <c r="AL320" s="2">
        <v>46259</v>
      </c>
      <c r="AM320" s="3">
        <v>1</v>
      </c>
      <c r="AN320" t="s">
        <v>20</v>
      </c>
      <c r="AO320" s="3">
        <v>450</v>
      </c>
      <c r="AP320" t="s">
        <v>916</v>
      </c>
      <c r="AQ320" t="s">
        <v>2</v>
      </c>
      <c r="AR320" t="s">
        <v>528</v>
      </c>
      <c r="AT320" t="s">
        <v>559</v>
      </c>
    </row>
    <row r="321" spans="1:47" x14ac:dyDescent="0.25">
      <c r="A321" s="1">
        <v>2734579</v>
      </c>
      <c r="B321" t="s">
        <v>248</v>
      </c>
      <c r="C321">
        <v>540</v>
      </c>
      <c r="D321" t="s">
        <v>1</v>
      </c>
      <c r="E321" s="2">
        <v>46260</v>
      </c>
      <c r="F321" s="2">
        <v>46260</v>
      </c>
      <c r="G321" s="3">
        <v>15</v>
      </c>
      <c r="H321" t="s">
        <v>11</v>
      </c>
      <c r="I321" s="3">
        <v>0</v>
      </c>
      <c r="J321" t="s">
        <v>249</v>
      </c>
      <c r="K321" t="s">
        <v>4</v>
      </c>
      <c r="L321" t="s">
        <v>22</v>
      </c>
      <c r="M321" t="s">
        <v>6</v>
      </c>
      <c r="N321" t="s">
        <v>7</v>
      </c>
      <c r="O321" t="s">
        <v>448</v>
      </c>
      <c r="Q321" t="b">
        <f t="shared" si="60"/>
        <v>1</v>
      </c>
      <c r="R321" t="b">
        <f t="shared" si="61"/>
        <v>1</v>
      </c>
      <c r="S321" t="b">
        <f t="shared" si="62"/>
        <v>1</v>
      </c>
      <c r="T321" t="b">
        <f t="shared" si="63"/>
        <v>1</v>
      </c>
      <c r="U321" t="b">
        <f t="shared" si="64"/>
        <v>1</v>
      </c>
      <c r="V321" t="b">
        <f t="shared" si="65"/>
        <v>1</v>
      </c>
      <c r="W321" t="b">
        <f t="shared" si="66"/>
        <v>1</v>
      </c>
      <c r="X321" t="b">
        <f t="shared" si="67"/>
        <v>1</v>
      </c>
      <c r="Y321" t="b">
        <f t="shared" si="68"/>
        <v>1</v>
      </c>
      <c r="Z321" t="b">
        <f t="shared" si="69"/>
        <v>1</v>
      </c>
      <c r="AA321" t="b">
        <f t="shared" si="70"/>
        <v>1</v>
      </c>
      <c r="AB321" t="b">
        <f t="shared" si="71"/>
        <v>1</v>
      </c>
      <c r="AC321" t="b">
        <f t="shared" si="72"/>
        <v>1</v>
      </c>
      <c r="AD321" t="b">
        <f t="shared" si="73"/>
        <v>1</v>
      </c>
      <c r="AE321" t="b">
        <f t="shared" si="74"/>
        <v>1</v>
      </c>
      <c r="AG321" s="1">
        <v>2734579</v>
      </c>
      <c r="AH321" t="s">
        <v>726</v>
      </c>
      <c r="AI321">
        <v>540</v>
      </c>
      <c r="AJ321" t="s">
        <v>503</v>
      </c>
      <c r="AK321" s="2">
        <v>46260</v>
      </c>
      <c r="AL321" s="2">
        <v>46260</v>
      </c>
      <c r="AM321" s="3">
        <v>15</v>
      </c>
      <c r="AN321" t="s">
        <v>11</v>
      </c>
      <c r="AO321" s="3">
        <v>0</v>
      </c>
      <c r="AP321" t="s">
        <v>727</v>
      </c>
      <c r="AR321" t="s">
        <v>516</v>
      </c>
      <c r="AU321" t="s">
        <v>917</v>
      </c>
    </row>
    <row r="322" spans="1:47" x14ac:dyDescent="0.25">
      <c r="A322" s="1">
        <v>2743516</v>
      </c>
      <c r="B322" t="s">
        <v>449</v>
      </c>
      <c r="C322">
        <v>525</v>
      </c>
      <c r="D322" t="s">
        <v>1</v>
      </c>
      <c r="E322" s="2">
        <v>46260</v>
      </c>
      <c r="F322" s="2">
        <v>46260</v>
      </c>
      <c r="G322" s="3">
        <v>4</v>
      </c>
      <c r="H322" t="s">
        <v>20</v>
      </c>
      <c r="I322" s="3">
        <v>0</v>
      </c>
      <c r="J322" t="s">
        <v>450</v>
      </c>
      <c r="K322" t="s">
        <v>130</v>
      </c>
      <c r="L322" t="s">
        <v>108</v>
      </c>
      <c r="M322" t="s">
        <v>6</v>
      </c>
      <c r="N322" t="s">
        <v>451</v>
      </c>
      <c r="O322" t="s">
        <v>452</v>
      </c>
      <c r="Q322" t="b">
        <f t="shared" si="60"/>
        <v>1</v>
      </c>
      <c r="R322" t="b">
        <f t="shared" si="61"/>
        <v>1</v>
      </c>
      <c r="S322" t="b">
        <f t="shared" si="62"/>
        <v>1</v>
      </c>
      <c r="T322" t="b">
        <f t="shared" si="63"/>
        <v>1</v>
      </c>
      <c r="U322" t="b">
        <f t="shared" si="64"/>
        <v>1</v>
      </c>
      <c r="V322" t="b">
        <f t="shared" si="65"/>
        <v>1</v>
      </c>
      <c r="W322" t="b">
        <f t="shared" si="66"/>
        <v>1</v>
      </c>
      <c r="X322" t="b">
        <f t="shared" si="67"/>
        <v>1</v>
      </c>
      <c r="Y322" t="b">
        <f t="shared" si="68"/>
        <v>1</v>
      </c>
      <c r="Z322" t="b">
        <f t="shared" si="69"/>
        <v>1</v>
      </c>
      <c r="AA322" t="b">
        <f t="shared" si="70"/>
        <v>1</v>
      </c>
      <c r="AB322" t="b">
        <f t="shared" si="71"/>
        <v>1</v>
      </c>
      <c r="AC322" t="b">
        <f t="shared" si="72"/>
        <v>1</v>
      </c>
      <c r="AD322" t="b">
        <f t="shared" si="73"/>
        <v>1</v>
      </c>
      <c r="AE322" t="b">
        <f t="shared" si="74"/>
        <v>1</v>
      </c>
      <c r="AG322" s="1">
        <v>2743516</v>
      </c>
      <c r="AH322" t="s">
        <v>918</v>
      </c>
      <c r="AI322">
        <v>525</v>
      </c>
      <c r="AJ322" t="s">
        <v>503</v>
      </c>
      <c r="AK322" s="2">
        <v>46260</v>
      </c>
      <c r="AL322" s="2">
        <v>46260</v>
      </c>
      <c r="AM322" s="3">
        <v>4</v>
      </c>
      <c r="AN322" t="s">
        <v>20</v>
      </c>
      <c r="AO322" s="3">
        <v>0</v>
      </c>
      <c r="AP322" t="s">
        <v>919</v>
      </c>
      <c r="AQ322" t="s">
        <v>130</v>
      </c>
      <c r="AR322" t="s">
        <v>595</v>
      </c>
      <c r="AT322" t="s">
        <v>920</v>
      </c>
      <c r="AU322" t="s">
        <v>921</v>
      </c>
    </row>
    <row r="323" spans="1:47" x14ac:dyDescent="0.25">
      <c r="A323" s="1">
        <v>2689609</v>
      </c>
      <c r="B323" t="s">
        <v>163</v>
      </c>
      <c r="C323">
        <v>540</v>
      </c>
      <c r="D323" t="s">
        <v>1</v>
      </c>
      <c r="E323" s="2">
        <v>46261</v>
      </c>
      <c r="F323" s="2">
        <v>46261</v>
      </c>
      <c r="G323" s="3">
        <v>80</v>
      </c>
      <c r="H323" t="s">
        <v>20</v>
      </c>
      <c r="I323" s="3">
        <v>36000</v>
      </c>
      <c r="J323" t="s">
        <v>337</v>
      </c>
      <c r="K323" t="s">
        <v>4</v>
      </c>
      <c r="L323" t="s">
        <v>108</v>
      </c>
      <c r="M323" t="s">
        <v>6</v>
      </c>
      <c r="N323" t="s">
        <v>165</v>
      </c>
      <c r="O323" t="s">
        <v>7</v>
      </c>
      <c r="Q323" t="b">
        <f t="shared" si="60"/>
        <v>1</v>
      </c>
      <c r="R323" t="b">
        <f t="shared" si="61"/>
        <v>1</v>
      </c>
      <c r="S323" t="b">
        <f t="shared" si="62"/>
        <v>1</v>
      </c>
      <c r="T323" t="b">
        <f t="shared" si="63"/>
        <v>1</v>
      </c>
      <c r="U323" t="b">
        <f t="shared" si="64"/>
        <v>1</v>
      </c>
      <c r="V323" t="b">
        <f t="shared" si="65"/>
        <v>1</v>
      </c>
      <c r="W323" t="b">
        <f t="shared" si="66"/>
        <v>1</v>
      </c>
      <c r="X323" t="b">
        <f t="shared" si="67"/>
        <v>1</v>
      </c>
      <c r="Y323" t="b">
        <f t="shared" si="68"/>
        <v>1</v>
      </c>
      <c r="Z323" t="b">
        <f t="shared" si="69"/>
        <v>1</v>
      </c>
      <c r="AA323" t="b">
        <f t="shared" si="70"/>
        <v>1</v>
      </c>
      <c r="AB323" t="b">
        <f t="shared" si="71"/>
        <v>1</v>
      </c>
      <c r="AC323" t="b">
        <f t="shared" si="72"/>
        <v>1</v>
      </c>
      <c r="AD323" t="b">
        <f t="shared" si="73"/>
        <v>1</v>
      </c>
      <c r="AE323" t="b">
        <f t="shared" si="74"/>
        <v>1</v>
      </c>
      <c r="AG323" s="1">
        <v>2689609</v>
      </c>
      <c r="AH323" t="s">
        <v>646</v>
      </c>
      <c r="AI323">
        <v>540</v>
      </c>
      <c r="AJ323" t="s">
        <v>503</v>
      </c>
      <c r="AK323" s="2">
        <v>46261</v>
      </c>
      <c r="AL323" s="2">
        <v>46261</v>
      </c>
      <c r="AM323" s="3">
        <v>80</v>
      </c>
      <c r="AN323" t="s">
        <v>20</v>
      </c>
      <c r="AO323" s="3">
        <v>36000</v>
      </c>
      <c r="AP323" t="s">
        <v>808</v>
      </c>
      <c r="AR323" t="s">
        <v>595</v>
      </c>
      <c r="AT323" t="s">
        <v>648</v>
      </c>
    </row>
    <row r="324" spans="1:47" x14ac:dyDescent="0.25">
      <c r="A324" s="1">
        <v>2739282</v>
      </c>
      <c r="B324" t="s">
        <v>323</v>
      </c>
      <c r="C324">
        <v>540</v>
      </c>
      <c r="D324" t="s">
        <v>1</v>
      </c>
      <c r="E324" s="2">
        <v>46261</v>
      </c>
      <c r="F324" s="2">
        <v>46261</v>
      </c>
      <c r="G324" s="3">
        <v>3</v>
      </c>
      <c r="H324" t="s">
        <v>11</v>
      </c>
      <c r="I324" s="3">
        <v>0</v>
      </c>
      <c r="J324" t="s">
        <v>324</v>
      </c>
      <c r="K324" t="s">
        <v>4</v>
      </c>
      <c r="L324" t="s">
        <v>40</v>
      </c>
      <c r="M324" t="s">
        <v>6</v>
      </c>
      <c r="N324" t="s">
        <v>325</v>
      </c>
      <c r="O324" t="s">
        <v>7</v>
      </c>
      <c r="Q324" t="b">
        <f t="shared" si="60"/>
        <v>1</v>
      </c>
      <c r="R324" t="b">
        <f t="shared" si="61"/>
        <v>1</v>
      </c>
      <c r="S324" t="b">
        <f t="shared" si="62"/>
        <v>1</v>
      </c>
      <c r="T324" t="b">
        <f t="shared" si="63"/>
        <v>1</v>
      </c>
      <c r="U324" t="b">
        <f t="shared" si="64"/>
        <v>1</v>
      </c>
      <c r="V324" t="b">
        <f t="shared" si="65"/>
        <v>1</v>
      </c>
      <c r="W324" t="b">
        <f t="shared" si="66"/>
        <v>1</v>
      </c>
      <c r="X324" t="b">
        <f t="shared" si="67"/>
        <v>1</v>
      </c>
      <c r="Y324" t="b">
        <f t="shared" si="68"/>
        <v>1</v>
      </c>
      <c r="Z324" t="b">
        <f t="shared" si="69"/>
        <v>1</v>
      </c>
      <c r="AA324" t="b">
        <f t="shared" si="70"/>
        <v>1</v>
      </c>
      <c r="AB324" t="b">
        <f t="shared" si="71"/>
        <v>1</v>
      </c>
      <c r="AC324" t="b">
        <f t="shared" si="72"/>
        <v>1</v>
      </c>
      <c r="AD324" t="b">
        <f t="shared" si="73"/>
        <v>1</v>
      </c>
      <c r="AE324" t="b">
        <f t="shared" si="74"/>
        <v>1</v>
      </c>
      <c r="AG324" s="1">
        <v>2739282</v>
      </c>
      <c r="AH324" t="s">
        <v>795</v>
      </c>
      <c r="AI324">
        <v>540</v>
      </c>
      <c r="AJ324" t="s">
        <v>503</v>
      </c>
      <c r="AK324" s="2">
        <v>46261</v>
      </c>
      <c r="AL324" s="2">
        <v>46261</v>
      </c>
      <c r="AM324" s="3">
        <v>3</v>
      </c>
      <c r="AN324" t="s">
        <v>11</v>
      </c>
      <c r="AO324" s="3">
        <v>0</v>
      </c>
      <c r="AP324" t="s">
        <v>796</v>
      </c>
      <c r="AR324" t="s">
        <v>531</v>
      </c>
      <c r="AT324" t="s">
        <v>797</v>
      </c>
    </row>
    <row r="325" spans="1:47" x14ac:dyDescent="0.25">
      <c r="A325" s="1">
        <v>2663065</v>
      </c>
      <c r="B325" t="s">
        <v>453</v>
      </c>
      <c r="C325">
        <v>540</v>
      </c>
      <c r="D325" t="s">
        <v>1</v>
      </c>
      <c r="E325" s="2">
        <v>46251</v>
      </c>
      <c r="F325" s="2">
        <v>46262</v>
      </c>
      <c r="G325" s="3">
        <v>52</v>
      </c>
      <c r="H325" t="s">
        <v>454</v>
      </c>
      <c r="I325" s="3">
        <v>35932</v>
      </c>
      <c r="J325" t="s">
        <v>455</v>
      </c>
      <c r="K325" t="s">
        <v>4</v>
      </c>
      <c r="L325" t="s">
        <v>22</v>
      </c>
      <c r="M325" t="s">
        <v>6</v>
      </c>
      <c r="N325" t="s">
        <v>7</v>
      </c>
      <c r="O325" t="s">
        <v>7</v>
      </c>
      <c r="Q325" t="b">
        <f t="shared" si="60"/>
        <v>1</v>
      </c>
      <c r="R325" t="b">
        <f t="shared" si="61"/>
        <v>1</v>
      </c>
      <c r="S325" t="b">
        <f t="shared" si="62"/>
        <v>1</v>
      </c>
      <c r="T325" t="b">
        <f t="shared" si="63"/>
        <v>1</v>
      </c>
      <c r="U325" t="b">
        <f t="shared" si="64"/>
        <v>1</v>
      </c>
      <c r="V325" t="b">
        <f t="shared" si="65"/>
        <v>1</v>
      </c>
      <c r="W325" t="b">
        <f t="shared" si="66"/>
        <v>1</v>
      </c>
      <c r="X325" t="b">
        <f t="shared" si="67"/>
        <v>1</v>
      </c>
      <c r="Y325" t="b">
        <f t="shared" si="68"/>
        <v>1</v>
      </c>
      <c r="Z325" t="b">
        <f t="shared" si="69"/>
        <v>1</v>
      </c>
      <c r="AA325" t="b">
        <f t="shared" si="70"/>
        <v>1</v>
      </c>
      <c r="AB325" t="b">
        <f t="shared" si="71"/>
        <v>1</v>
      </c>
      <c r="AC325" t="b">
        <f t="shared" si="72"/>
        <v>1</v>
      </c>
      <c r="AD325" t="b">
        <f t="shared" si="73"/>
        <v>1</v>
      </c>
      <c r="AE325" t="b">
        <f t="shared" si="74"/>
        <v>1</v>
      </c>
      <c r="AG325" s="1">
        <v>2663065</v>
      </c>
      <c r="AH325" t="s">
        <v>922</v>
      </c>
      <c r="AI325">
        <v>540</v>
      </c>
      <c r="AJ325" t="s">
        <v>503</v>
      </c>
      <c r="AK325" s="2">
        <v>46251</v>
      </c>
      <c r="AL325" s="2">
        <v>46262</v>
      </c>
      <c r="AM325" s="3">
        <v>52</v>
      </c>
      <c r="AN325" t="s">
        <v>454</v>
      </c>
      <c r="AO325" s="3">
        <v>35932</v>
      </c>
      <c r="AP325" t="s">
        <v>923</v>
      </c>
      <c r="AR325" t="s">
        <v>516</v>
      </c>
    </row>
    <row r="326" spans="1:47" x14ac:dyDescent="0.25">
      <c r="A326" s="1">
        <v>2718026</v>
      </c>
      <c r="B326" t="s">
        <v>154</v>
      </c>
      <c r="C326">
        <v>540</v>
      </c>
      <c r="D326" t="s">
        <v>1</v>
      </c>
      <c r="E326" s="2">
        <v>46262</v>
      </c>
      <c r="F326" s="2">
        <v>46262</v>
      </c>
      <c r="G326" s="3">
        <v>10</v>
      </c>
      <c r="H326" t="s">
        <v>20</v>
      </c>
      <c r="I326" s="3">
        <v>5500</v>
      </c>
      <c r="J326" t="s">
        <v>456</v>
      </c>
      <c r="K326" t="s">
        <v>4</v>
      </c>
      <c r="L326" t="s">
        <v>126</v>
      </c>
      <c r="M326" t="s">
        <v>6</v>
      </c>
      <c r="N326" t="s">
        <v>7</v>
      </c>
      <c r="O326" t="s">
        <v>7</v>
      </c>
      <c r="Q326" t="b">
        <f t="shared" si="60"/>
        <v>1</v>
      </c>
      <c r="R326" t="b">
        <f t="shared" si="61"/>
        <v>1</v>
      </c>
      <c r="S326" t="b">
        <f t="shared" si="62"/>
        <v>1</v>
      </c>
      <c r="T326" t="b">
        <f t="shared" si="63"/>
        <v>1</v>
      </c>
      <c r="U326" t="b">
        <f t="shared" si="64"/>
        <v>1</v>
      </c>
      <c r="V326" t="b">
        <f t="shared" si="65"/>
        <v>1</v>
      </c>
      <c r="W326" t="b">
        <f t="shared" si="66"/>
        <v>1</v>
      </c>
      <c r="X326" t="b">
        <f t="shared" si="67"/>
        <v>1</v>
      </c>
      <c r="Y326" t="b">
        <f t="shared" si="68"/>
        <v>1</v>
      </c>
      <c r="Z326" t="b">
        <f t="shared" si="69"/>
        <v>1</v>
      </c>
      <c r="AA326" t="b">
        <f t="shared" si="70"/>
        <v>1</v>
      </c>
      <c r="AB326" t="b">
        <f t="shared" si="71"/>
        <v>1</v>
      </c>
      <c r="AC326" t="b">
        <f t="shared" si="72"/>
        <v>1</v>
      </c>
      <c r="AD326" t="b">
        <f t="shared" si="73"/>
        <v>1</v>
      </c>
      <c r="AE326" t="b">
        <f t="shared" si="74"/>
        <v>1</v>
      </c>
      <c r="AG326" s="1">
        <v>2718026</v>
      </c>
      <c r="AH326" t="s">
        <v>154</v>
      </c>
      <c r="AI326">
        <v>540</v>
      </c>
      <c r="AJ326" t="s">
        <v>503</v>
      </c>
      <c r="AK326" s="2">
        <v>46262</v>
      </c>
      <c r="AL326" s="2">
        <v>46262</v>
      </c>
      <c r="AM326" s="3">
        <v>10</v>
      </c>
      <c r="AN326" t="s">
        <v>20</v>
      </c>
      <c r="AO326" s="3">
        <v>5500</v>
      </c>
      <c r="AP326" t="s">
        <v>924</v>
      </c>
      <c r="AR326" t="s">
        <v>612</v>
      </c>
    </row>
    <row r="327" spans="1:47" x14ac:dyDescent="0.25">
      <c r="A327" s="1">
        <v>2724233</v>
      </c>
      <c r="B327" t="s">
        <v>428</v>
      </c>
      <c r="C327">
        <v>540</v>
      </c>
      <c r="D327" t="s">
        <v>1</v>
      </c>
      <c r="E327" s="2">
        <v>46262</v>
      </c>
      <c r="F327" s="2">
        <v>46262</v>
      </c>
      <c r="G327" s="3">
        <v>4</v>
      </c>
      <c r="H327" t="s">
        <v>20</v>
      </c>
      <c r="I327" s="3">
        <v>1764</v>
      </c>
      <c r="J327" t="s">
        <v>457</v>
      </c>
      <c r="K327" t="s">
        <v>4</v>
      </c>
      <c r="L327" t="s">
        <v>108</v>
      </c>
      <c r="M327" t="s">
        <v>6</v>
      </c>
      <c r="N327" t="s">
        <v>430</v>
      </c>
      <c r="O327" t="s">
        <v>7</v>
      </c>
      <c r="Q327" t="b">
        <f t="shared" si="60"/>
        <v>1</v>
      </c>
      <c r="R327" t="b">
        <f t="shared" si="61"/>
        <v>1</v>
      </c>
      <c r="S327" t="b">
        <f t="shared" si="62"/>
        <v>1</v>
      </c>
      <c r="T327" t="b">
        <f t="shared" si="63"/>
        <v>1</v>
      </c>
      <c r="U327" t="b">
        <f t="shared" si="64"/>
        <v>1</v>
      </c>
      <c r="V327" t="b">
        <f t="shared" si="65"/>
        <v>1</v>
      </c>
      <c r="W327" t="b">
        <f t="shared" si="66"/>
        <v>1</v>
      </c>
      <c r="X327" t="b">
        <f t="shared" si="67"/>
        <v>1</v>
      </c>
      <c r="Y327" t="b">
        <f t="shared" si="68"/>
        <v>1</v>
      </c>
      <c r="Z327" t="b">
        <f t="shared" si="69"/>
        <v>1</v>
      </c>
      <c r="AA327" t="b">
        <f t="shared" si="70"/>
        <v>1</v>
      </c>
      <c r="AB327" t="b">
        <f t="shared" si="71"/>
        <v>1</v>
      </c>
      <c r="AC327" t="b">
        <f t="shared" si="72"/>
        <v>1</v>
      </c>
      <c r="AD327" t="b">
        <f t="shared" si="73"/>
        <v>1</v>
      </c>
      <c r="AE327" t="b">
        <f t="shared" si="74"/>
        <v>1</v>
      </c>
      <c r="AG327" s="1">
        <v>2724233</v>
      </c>
      <c r="AH327" t="s">
        <v>898</v>
      </c>
      <c r="AI327">
        <v>540</v>
      </c>
      <c r="AJ327" t="s">
        <v>503</v>
      </c>
      <c r="AK327" s="2">
        <v>46262</v>
      </c>
      <c r="AL327" s="2">
        <v>46262</v>
      </c>
      <c r="AM327" s="3">
        <v>4</v>
      </c>
      <c r="AN327" t="s">
        <v>20</v>
      </c>
      <c r="AO327" s="3">
        <v>1764</v>
      </c>
      <c r="AP327" t="s">
        <v>925</v>
      </c>
      <c r="AR327" t="s">
        <v>595</v>
      </c>
      <c r="AT327" t="s">
        <v>900</v>
      </c>
    </row>
    <row r="328" spans="1:47" x14ac:dyDescent="0.25">
      <c r="A328" s="1">
        <v>2724233</v>
      </c>
      <c r="B328" t="s">
        <v>428</v>
      </c>
      <c r="C328">
        <v>540</v>
      </c>
      <c r="D328" t="s">
        <v>1</v>
      </c>
      <c r="E328" s="2">
        <v>46262</v>
      </c>
      <c r="F328" s="2">
        <v>46262</v>
      </c>
      <c r="G328" s="3">
        <v>3</v>
      </c>
      <c r="H328" t="s">
        <v>11</v>
      </c>
      <c r="I328" s="3">
        <v>6615</v>
      </c>
      <c r="J328" t="s">
        <v>346</v>
      </c>
      <c r="K328" t="s">
        <v>4</v>
      </c>
      <c r="L328" t="s">
        <v>108</v>
      </c>
      <c r="M328" t="s">
        <v>6</v>
      </c>
      <c r="N328" t="s">
        <v>430</v>
      </c>
      <c r="O328" t="s">
        <v>7</v>
      </c>
      <c r="Q328" t="b">
        <f t="shared" si="60"/>
        <v>1</v>
      </c>
      <c r="R328" t="b">
        <f t="shared" si="61"/>
        <v>1</v>
      </c>
      <c r="S328" t="b">
        <f t="shared" si="62"/>
        <v>1</v>
      </c>
      <c r="T328" t="b">
        <f t="shared" si="63"/>
        <v>1</v>
      </c>
      <c r="U328" t="b">
        <f t="shared" si="64"/>
        <v>1</v>
      </c>
      <c r="V328" t="b">
        <f t="shared" si="65"/>
        <v>1</v>
      </c>
      <c r="W328" t="b">
        <f t="shared" si="66"/>
        <v>1</v>
      </c>
      <c r="X328" t="b">
        <f t="shared" si="67"/>
        <v>1</v>
      </c>
      <c r="Y328" t="b">
        <f t="shared" si="68"/>
        <v>1</v>
      </c>
      <c r="Z328" t="b">
        <f t="shared" si="69"/>
        <v>1</v>
      </c>
      <c r="AA328" t="b">
        <f t="shared" si="70"/>
        <v>1</v>
      </c>
      <c r="AB328" t="b">
        <f t="shared" si="71"/>
        <v>1</v>
      </c>
      <c r="AC328" t="b">
        <f t="shared" si="72"/>
        <v>1</v>
      </c>
      <c r="AD328" t="b">
        <f t="shared" si="73"/>
        <v>1</v>
      </c>
      <c r="AE328" t="b">
        <f t="shared" si="74"/>
        <v>1</v>
      </c>
      <c r="AG328" s="1">
        <v>2724233</v>
      </c>
      <c r="AH328" t="s">
        <v>898</v>
      </c>
      <c r="AI328">
        <v>540</v>
      </c>
      <c r="AJ328" t="s">
        <v>503</v>
      </c>
      <c r="AK328" s="2">
        <v>46262</v>
      </c>
      <c r="AL328" s="2">
        <v>46262</v>
      </c>
      <c r="AM328" s="3">
        <v>3</v>
      </c>
      <c r="AN328" t="s">
        <v>11</v>
      </c>
      <c r="AO328" s="3">
        <v>6615</v>
      </c>
      <c r="AP328" t="s">
        <v>816</v>
      </c>
      <c r="AR328" t="s">
        <v>595</v>
      </c>
      <c r="AT328" t="s">
        <v>900</v>
      </c>
    </row>
    <row r="329" spans="1:47" x14ac:dyDescent="0.25">
      <c r="A329" s="1">
        <v>2739672</v>
      </c>
      <c r="B329" t="s">
        <v>386</v>
      </c>
      <c r="C329">
        <v>540</v>
      </c>
      <c r="D329" t="s">
        <v>1</v>
      </c>
      <c r="E329" s="2">
        <v>46262</v>
      </c>
      <c r="F329" s="2">
        <v>46262</v>
      </c>
      <c r="G329" s="3">
        <v>80</v>
      </c>
      <c r="H329" t="s">
        <v>20</v>
      </c>
      <c r="I329" s="3">
        <v>0</v>
      </c>
      <c r="J329" t="s">
        <v>387</v>
      </c>
      <c r="K329" t="s">
        <v>4</v>
      </c>
      <c r="L329" t="s">
        <v>108</v>
      </c>
      <c r="M329" t="s">
        <v>6</v>
      </c>
      <c r="N329" t="s">
        <v>7</v>
      </c>
      <c r="O329" t="s">
        <v>388</v>
      </c>
      <c r="Q329" t="b">
        <f t="shared" si="60"/>
        <v>1</v>
      </c>
      <c r="R329" t="b">
        <f t="shared" si="61"/>
        <v>1</v>
      </c>
      <c r="S329" t="b">
        <f t="shared" si="62"/>
        <v>1</v>
      </c>
      <c r="T329" t="b">
        <f t="shared" si="63"/>
        <v>1</v>
      </c>
      <c r="U329" t="b">
        <f t="shared" si="64"/>
        <v>1</v>
      </c>
      <c r="V329" t="b">
        <f t="shared" si="65"/>
        <v>1</v>
      </c>
      <c r="W329" t="b">
        <f t="shared" si="66"/>
        <v>1</v>
      </c>
      <c r="X329" t="b">
        <f t="shared" si="67"/>
        <v>1</v>
      </c>
      <c r="Y329" t="b">
        <f t="shared" si="68"/>
        <v>1</v>
      </c>
      <c r="Z329" t="b">
        <f t="shared" si="69"/>
        <v>1</v>
      </c>
      <c r="AA329" t="b">
        <f t="shared" si="70"/>
        <v>1</v>
      </c>
      <c r="AB329" t="b">
        <f t="shared" si="71"/>
        <v>1</v>
      </c>
      <c r="AC329" t="b">
        <f t="shared" si="72"/>
        <v>1</v>
      </c>
      <c r="AD329" t="b">
        <f t="shared" si="73"/>
        <v>1</v>
      </c>
      <c r="AE329" t="b">
        <f t="shared" si="74"/>
        <v>1</v>
      </c>
      <c r="AG329" s="1">
        <v>2739672</v>
      </c>
      <c r="AH329" t="s">
        <v>856</v>
      </c>
      <c r="AI329">
        <v>540</v>
      </c>
      <c r="AJ329" t="s">
        <v>503</v>
      </c>
      <c r="AK329" s="2">
        <v>46262</v>
      </c>
      <c r="AL329" s="2">
        <v>46262</v>
      </c>
      <c r="AM329" s="3">
        <v>80</v>
      </c>
      <c r="AN329" t="s">
        <v>20</v>
      </c>
      <c r="AO329" s="3">
        <v>0</v>
      </c>
      <c r="AP329" t="s">
        <v>857</v>
      </c>
      <c r="AR329" t="s">
        <v>595</v>
      </c>
      <c r="AU329" t="s">
        <v>858</v>
      </c>
    </row>
    <row r="330" spans="1:47" x14ac:dyDescent="0.25">
      <c r="A330" s="1">
        <v>2701152</v>
      </c>
      <c r="B330" t="s">
        <v>26</v>
      </c>
      <c r="C330">
        <v>540</v>
      </c>
      <c r="D330" t="s">
        <v>1</v>
      </c>
      <c r="E330" s="2">
        <v>46265</v>
      </c>
      <c r="F330" s="2">
        <v>46265</v>
      </c>
      <c r="G330" s="3">
        <v>15</v>
      </c>
      <c r="H330" t="s">
        <v>11</v>
      </c>
      <c r="I330" s="3">
        <v>33075</v>
      </c>
      <c r="J330" t="s">
        <v>441</v>
      </c>
      <c r="K330" t="s">
        <v>29</v>
      </c>
      <c r="L330" t="s">
        <v>30</v>
      </c>
      <c r="M330" t="s">
        <v>6</v>
      </c>
      <c r="N330" t="s">
        <v>7</v>
      </c>
      <c r="O330" t="s">
        <v>31</v>
      </c>
      <c r="Q330" t="b">
        <f t="shared" ref="Q330:Q393" si="75">IFERROR(ABS(A330-AG330)&lt;=0.001,EXACT(A330&amp;"",AG330&amp;""))</f>
        <v>1</v>
      </c>
      <c r="R330" t="b">
        <f t="shared" ref="R330:R393" si="76">EXACT(TRIM(B330&amp;""),TRIM(AH330&amp;""))</f>
        <v>1</v>
      </c>
      <c r="S330" t="b">
        <f t="shared" ref="S330:S393" si="77">EXACT(TRIM(C330&amp;""),TRIM(AI330&amp;""))</f>
        <v>1</v>
      </c>
      <c r="T330" t="b">
        <f t="shared" ref="T330:T393" si="78">EXACT(TRIM(D330&amp;""),TRIM(AJ330&amp;""))</f>
        <v>1</v>
      </c>
      <c r="U330" t="b">
        <f t="shared" ref="U330:U393" si="79">IFERROR(INT(E330)=INT(AK330),EXACT(E330&amp;"",AK330&amp;""))</f>
        <v>1</v>
      </c>
      <c r="V330" t="b">
        <f t="shared" ref="V330:V393" si="80">IFERROR(INT(F330)=INT(AL330),EXACT(F330&amp;"",AL330&amp;""))</f>
        <v>1</v>
      </c>
      <c r="W330" t="b">
        <f t="shared" ref="W330:W393" si="81">IFERROR(ROUND(G330,0)=ROUND(AM330,0),EXACT(G330&amp;"",AM330&amp;""))</f>
        <v>1</v>
      </c>
      <c r="X330" t="b">
        <f t="shared" ref="X330:X393" si="82">EXACT(TRIM(H330&amp;""),TRIM(AN330&amp;""))</f>
        <v>1</v>
      </c>
      <c r="Y330" t="b">
        <f t="shared" ref="Y330:Y393" si="83">IFERROR(ROUND(I330,0)=ROUND(AO330,0),EXACT(I330&amp;"",AO330&amp;""))</f>
        <v>1</v>
      </c>
      <c r="Z330" t="b">
        <f t="shared" ref="Z330:Z393" si="84">EXACT(TRIM(J330&amp;""),TRIM(AP330&amp;""))</f>
        <v>1</v>
      </c>
      <c r="AA330" t="b">
        <f t="shared" ref="AA330:AA393" si="85">EXACT(TRIM(K330&amp;""),TRIM(AQ330&amp;""))</f>
        <v>1</v>
      </c>
      <c r="AB330" t="b">
        <f t="shared" ref="AB330:AB393" si="86">EXACT(TRIM(L330&amp;""),TRIM(AR330&amp;""))</f>
        <v>1</v>
      </c>
      <c r="AC330" t="b">
        <f t="shared" ref="AC330:AC393" si="87">EXACT(TRIM(M330&amp;""),TRIM(AS330&amp;""))</f>
        <v>1</v>
      </c>
      <c r="AD330" t="b">
        <f t="shared" ref="AD330:AD393" si="88">EXACT(TRIM(N330&amp;""),TRIM(AT330&amp;""))</f>
        <v>1</v>
      </c>
      <c r="AE330" t="b">
        <f t="shared" ref="AE330:AE393" si="89">EXACT(TRIM(O330&amp;""),TRIM(AU330&amp;""))</f>
        <v>1</v>
      </c>
      <c r="AG330" s="1">
        <v>2701152</v>
      </c>
      <c r="AH330" t="s">
        <v>519</v>
      </c>
      <c r="AI330">
        <v>540</v>
      </c>
      <c r="AJ330" t="s">
        <v>503</v>
      </c>
      <c r="AK330" s="2">
        <v>46265</v>
      </c>
      <c r="AL330" s="2">
        <v>46265</v>
      </c>
      <c r="AM330" s="3">
        <v>15</v>
      </c>
      <c r="AN330" t="s">
        <v>11</v>
      </c>
      <c r="AO330" s="3">
        <v>33075</v>
      </c>
      <c r="AP330" t="s">
        <v>910</v>
      </c>
      <c r="AQ330" t="s">
        <v>29</v>
      </c>
      <c r="AR330" t="s">
        <v>521</v>
      </c>
      <c r="AU330" t="s">
        <v>522</v>
      </c>
    </row>
    <row r="331" spans="1:47" x14ac:dyDescent="0.25">
      <c r="A331" s="1">
        <v>2728432</v>
      </c>
      <c r="B331" t="s">
        <v>458</v>
      </c>
      <c r="C331">
        <v>540</v>
      </c>
      <c r="D331" t="s">
        <v>1</v>
      </c>
      <c r="E331" s="2">
        <v>46265</v>
      </c>
      <c r="F331" s="2">
        <v>46265</v>
      </c>
      <c r="G331" s="3">
        <v>1</v>
      </c>
      <c r="H331" t="s">
        <v>11</v>
      </c>
      <c r="I331" s="3">
        <v>2200</v>
      </c>
      <c r="J331" t="s">
        <v>459</v>
      </c>
      <c r="K331" t="s">
        <v>4</v>
      </c>
      <c r="L331" t="s">
        <v>59</v>
      </c>
      <c r="M331" t="s">
        <v>6</v>
      </c>
      <c r="N331" t="s">
        <v>7</v>
      </c>
      <c r="O331" t="s">
        <v>7</v>
      </c>
      <c r="Q331" t="b">
        <f t="shared" si="75"/>
        <v>1</v>
      </c>
      <c r="R331" t="b">
        <f t="shared" si="76"/>
        <v>1</v>
      </c>
      <c r="S331" t="b">
        <f t="shared" si="77"/>
        <v>1</v>
      </c>
      <c r="T331" t="b">
        <f t="shared" si="78"/>
        <v>1</v>
      </c>
      <c r="U331" t="b">
        <f t="shared" si="79"/>
        <v>1</v>
      </c>
      <c r="V331" t="b">
        <f t="shared" si="80"/>
        <v>1</v>
      </c>
      <c r="W331" t="b">
        <f t="shared" si="81"/>
        <v>1</v>
      </c>
      <c r="X331" t="b">
        <f t="shared" si="82"/>
        <v>1</v>
      </c>
      <c r="Y331" t="b">
        <f t="shared" si="83"/>
        <v>1</v>
      </c>
      <c r="Z331" t="b">
        <f t="shared" si="84"/>
        <v>1</v>
      </c>
      <c r="AA331" t="b">
        <f t="shared" si="85"/>
        <v>1</v>
      </c>
      <c r="AB331" t="b">
        <f t="shared" si="86"/>
        <v>1</v>
      </c>
      <c r="AC331" t="b">
        <f t="shared" si="87"/>
        <v>1</v>
      </c>
      <c r="AD331" t="b">
        <f t="shared" si="88"/>
        <v>1</v>
      </c>
      <c r="AE331" t="b">
        <f t="shared" si="89"/>
        <v>1</v>
      </c>
      <c r="AG331" s="1">
        <v>2728432</v>
      </c>
      <c r="AH331" t="s">
        <v>926</v>
      </c>
      <c r="AI331">
        <v>540</v>
      </c>
      <c r="AJ331" t="s">
        <v>503</v>
      </c>
      <c r="AK331" s="2">
        <v>46265</v>
      </c>
      <c r="AL331" s="2">
        <v>46265</v>
      </c>
      <c r="AM331" s="3">
        <v>1</v>
      </c>
      <c r="AN331" t="s">
        <v>11</v>
      </c>
      <c r="AO331" s="3">
        <v>2200</v>
      </c>
      <c r="AP331" t="s">
        <v>927</v>
      </c>
      <c r="AR331" t="s">
        <v>547</v>
      </c>
    </row>
    <row r="332" spans="1:47" x14ac:dyDescent="0.25">
      <c r="A332" s="1">
        <v>2729933</v>
      </c>
      <c r="B332" t="s">
        <v>26</v>
      </c>
      <c r="C332">
        <v>540</v>
      </c>
      <c r="D332" t="s">
        <v>1</v>
      </c>
      <c r="E332" s="2">
        <v>46265</v>
      </c>
      <c r="F332" s="2">
        <v>46265</v>
      </c>
      <c r="G332" s="3">
        <v>26</v>
      </c>
      <c r="H332" t="s">
        <v>20</v>
      </c>
      <c r="I332" s="3">
        <v>0</v>
      </c>
      <c r="J332" t="s">
        <v>460</v>
      </c>
      <c r="K332" t="s">
        <v>29</v>
      </c>
      <c r="L332" t="s">
        <v>30</v>
      </c>
      <c r="M332" t="s">
        <v>6</v>
      </c>
      <c r="N332" t="s">
        <v>7</v>
      </c>
      <c r="O332" t="s">
        <v>31</v>
      </c>
      <c r="Q332" t="b">
        <f t="shared" si="75"/>
        <v>1</v>
      </c>
      <c r="R332" t="b">
        <f t="shared" si="76"/>
        <v>1</v>
      </c>
      <c r="S332" t="b">
        <f t="shared" si="77"/>
        <v>1</v>
      </c>
      <c r="T332" t="b">
        <f t="shared" si="78"/>
        <v>1</v>
      </c>
      <c r="U332" t="b">
        <f t="shared" si="79"/>
        <v>1</v>
      </c>
      <c r="V332" t="b">
        <f t="shared" si="80"/>
        <v>1</v>
      </c>
      <c r="W332" t="b">
        <f t="shared" si="81"/>
        <v>1</v>
      </c>
      <c r="X332" t="b">
        <f t="shared" si="82"/>
        <v>1</v>
      </c>
      <c r="Y332" t="b">
        <f t="shared" si="83"/>
        <v>1</v>
      </c>
      <c r="Z332" t="b">
        <f t="shared" si="84"/>
        <v>1</v>
      </c>
      <c r="AA332" t="b">
        <f t="shared" si="85"/>
        <v>1</v>
      </c>
      <c r="AB332" t="b">
        <f t="shared" si="86"/>
        <v>1</v>
      </c>
      <c r="AC332" t="b">
        <f t="shared" si="87"/>
        <v>1</v>
      </c>
      <c r="AD332" t="b">
        <f t="shared" si="88"/>
        <v>1</v>
      </c>
      <c r="AE332" t="b">
        <f t="shared" si="89"/>
        <v>1</v>
      </c>
      <c r="AG332" s="1">
        <v>2729933</v>
      </c>
      <c r="AH332" t="s">
        <v>519</v>
      </c>
      <c r="AI332">
        <v>540</v>
      </c>
      <c r="AJ332" t="s">
        <v>503</v>
      </c>
      <c r="AK332" s="2">
        <v>46265</v>
      </c>
      <c r="AL332" s="2">
        <v>46265</v>
      </c>
      <c r="AM332" s="3">
        <v>26</v>
      </c>
      <c r="AN332" t="s">
        <v>20</v>
      </c>
      <c r="AO332" s="3">
        <v>0</v>
      </c>
      <c r="AP332" t="s">
        <v>928</v>
      </c>
      <c r="AQ332" t="s">
        <v>29</v>
      </c>
      <c r="AR332" t="s">
        <v>521</v>
      </c>
      <c r="AU332" t="s">
        <v>522</v>
      </c>
    </row>
    <row r="333" spans="1:47" x14ac:dyDescent="0.25">
      <c r="A333" s="1">
        <v>2744089</v>
      </c>
      <c r="B333" t="s">
        <v>461</v>
      </c>
      <c r="C333">
        <v>530</v>
      </c>
      <c r="D333" t="s">
        <v>1</v>
      </c>
      <c r="E333" s="2">
        <v>46265</v>
      </c>
      <c r="F333" s="2">
        <v>46265</v>
      </c>
      <c r="G333" s="3">
        <v>15</v>
      </c>
      <c r="H333" t="s">
        <v>11</v>
      </c>
      <c r="I333" s="3">
        <v>0</v>
      </c>
      <c r="J333" t="s">
        <v>462</v>
      </c>
      <c r="K333" t="s">
        <v>4</v>
      </c>
      <c r="L333" t="s">
        <v>108</v>
      </c>
      <c r="M333" t="s">
        <v>6</v>
      </c>
      <c r="N333" t="s">
        <v>7</v>
      </c>
      <c r="O333" t="s">
        <v>463</v>
      </c>
      <c r="Q333" t="b">
        <f t="shared" si="75"/>
        <v>1</v>
      </c>
      <c r="R333" t="b">
        <f t="shared" si="76"/>
        <v>1</v>
      </c>
      <c r="S333" t="b">
        <f t="shared" si="77"/>
        <v>1</v>
      </c>
      <c r="T333" t="b">
        <f t="shared" si="78"/>
        <v>1</v>
      </c>
      <c r="U333" t="b">
        <f t="shared" si="79"/>
        <v>1</v>
      </c>
      <c r="V333" t="b">
        <f t="shared" si="80"/>
        <v>1</v>
      </c>
      <c r="W333" t="b">
        <f t="shared" si="81"/>
        <v>1</v>
      </c>
      <c r="X333" t="b">
        <f t="shared" si="82"/>
        <v>1</v>
      </c>
      <c r="Y333" t="b">
        <f t="shared" si="83"/>
        <v>1</v>
      </c>
      <c r="Z333" t="b">
        <f t="shared" si="84"/>
        <v>1</v>
      </c>
      <c r="AA333" t="b">
        <f t="shared" si="85"/>
        <v>1</v>
      </c>
      <c r="AB333" t="b">
        <f t="shared" si="86"/>
        <v>1</v>
      </c>
      <c r="AC333" t="b">
        <f t="shared" si="87"/>
        <v>1</v>
      </c>
      <c r="AD333" t="b">
        <f t="shared" si="88"/>
        <v>1</v>
      </c>
      <c r="AE333" t="b">
        <f t="shared" si="89"/>
        <v>0</v>
      </c>
      <c r="AG333" s="1">
        <v>2744089</v>
      </c>
      <c r="AH333" t="s">
        <v>929</v>
      </c>
      <c r="AI333">
        <v>530</v>
      </c>
      <c r="AJ333" t="s">
        <v>503</v>
      </c>
      <c r="AK333" s="2">
        <v>46265</v>
      </c>
      <c r="AL333" s="2">
        <v>46265</v>
      </c>
      <c r="AM333" s="3">
        <v>15</v>
      </c>
      <c r="AN333" t="s">
        <v>11</v>
      </c>
      <c r="AO333" s="3">
        <v>0</v>
      </c>
      <c r="AP333" t="s">
        <v>930</v>
      </c>
      <c r="AR333" t="s">
        <v>595</v>
      </c>
      <c r="AU333" t="s">
        <v>915</v>
      </c>
    </row>
    <row r="334" spans="1:47" x14ac:dyDescent="0.25">
      <c r="A334" s="1">
        <v>2681285</v>
      </c>
      <c r="B334" t="s">
        <v>464</v>
      </c>
      <c r="C334">
        <v>540</v>
      </c>
      <c r="D334" t="s">
        <v>1</v>
      </c>
      <c r="E334" s="2">
        <v>46266</v>
      </c>
      <c r="F334" s="2">
        <v>46266</v>
      </c>
      <c r="G334" s="3">
        <v>13</v>
      </c>
      <c r="H334" t="s">
        <v>20</v>
      </c>
      <c r="I334" s="3">
        <v>5525</v>
      </c>
      <c r="J334" t="s">
        <v>429</v>
      </c>
      <c r="K334" t="s">
        <v>4</v>
      </c>
      <c r="L334" t="s">
        <v>322</v>
      </c>
      <c r="M334" t="s">
        <v>6</v>
      </c>
      <c r="N334" t="s">
        <v>7</v>
      </c>
      <c r="O334" t="s">
        <v>7</v>
      </c>
      <c r="Q334" t="b">
        <f t="shared" si="75"/>
        <v>1</v>
      </c>
      <c r="R334" t="b">
        <f t="shared" si="76"/>
        <v>1</v>
      </c>
      <c r="S334" t="b">
        <f t="shared" si="77"/>
        <v>1</v>
      </c>
      <c r="T334" t="b">
        <f t="shared" si="78"/>
        <v>1</v>
      </c>
      <c r="U334" t="b">
        <f t="shared" si="79"/>
        <v>1</v>
      </c>
      <c r="V334" t="b">
        <f t="shared" si="80"/>
        <v>1</v>
      </c>
      <c r="W334" t="b">
        <f t="shared" si="81"/>
        <v>1</v>
      </c>
      <c r="X334" t="b">
        <f t="shared" si="82"/>
        <v>1</v>
      </c>
      <c r="Y334" t="b">
        <f t="shared" si="83"/>
        <v>1</v>
      </c>
      <c r="Z334" t="b">
        <f t="shared" si="84"/>
        <v>1</v>
      </c>
      <c r="AA334" t="b">
        <f t="shared" si="85"/>
        <v>1</v>
      </c>
      <c r="AB334" t="b">
        <f t="shared" si="86"/>
        <v>1</v>
      </c>
      <c r="AC334" t="b">
        <f t="shared" si="87"/>
        <v>1</v>
      </c>
      <c r="AD334" t="b">
        <f t="shared" si="88"/>
        <v>1</v>
      </c>
      <c r="AE334" t="b">
        <f t="shared" si="89"/>
        <v>1</v>
      </c>
      <c r="AG334" s="1">
        <v>2681285</v>
      </c>
      <c r="AH334" t="s">
        <v>931</v>
      </c>
      <c r="AI334">
        <v>540</v>
      </c>
      <c r="AJ334" t="s">
        <v>503</v>
      </c>
      <c r="AK334" s="2">
        <v>46266</v>
      </c>
      <c r="AL334" s="2">
        <v>46266</v>
      </c>
      <c r="AM334" s="3">
        <v>13</v>
      </c>
      <c r="AN334" t="s">
        <v>20</v>
      </c>
      <c r="AO334" s="3">
        <v>5525</v>
      </c>
      <c r="AP334" t="s">
        <v>899</v>
      </c>
      <c r="AR334" t="s">
        <v>794</v>
      </c>
    </row>
    <row r="335" spans="1:47" x14ac:dyDescent="0.25">
      <c r="A335" s="1">
        <v>2689527</v>
      </c>
      <c r="B335" t="s">
        <v>287</v>
      </c>
      <c r="C335">
        <v>540</v>
      </c>
      <c r="D335" t="s">
        <v>1</v>
      </c>
      <c r="E335" s="2">
        <v>46266</v>
      </c>
      <c r="F335" s="2">
        <v>46266</v>
      </c>
      <c r="G335" s="3">
        <v>2</v>
      </c>
      <c r="H335" t="s">
        <v>11</v>
      </c>
      <c r="I335" s="3">
        <v>5400</v>
      </c>
      <c r="J335" t="s">
        <v>230</v>
      </c>
      <c r="K335" t="s">
        <v>4</v>
      </c>
      <c r="L335" t="s">
        <v>30</v>
      </c>
      <c r="M335" t="s">
        <v>6</v>
      </c>
      <c r="N335" t="s">
        <v>231</v>
      </c>
      <c r="O335" t="s">
        <v>7</v>
      </c>
      <c r="Q335" t="b">
        <f t="shared" si="75"/>
        <v>1</v>
      </c>
      <c r="R335" t="b">
        <f t="shared" si="76"/>
        <v>1</v>
      </c>
      <c r="S335" t="b">
        <f t="shared" si="77"/>
        <v>1</v>
      </c>
      <c r="T335" t="b">
        <f t="shared" si="78"/>
        <v>1</v>
      </c>
      <c r="U335" t="b">
        <f t="shared" si="79"/>
        <v>1</v>
      </c>
      <c r="V335" t="b">
        <f t="shared" si="80"/>
        <v>1</v>
      </c>
      <c r="W335" t="b">
        <f t="shared" si="81"/>
        <v>1</v>
      </c>
      <c r="X335" t="b">
        <f t="shared" si="82"/>
        <v>1</v>
      </c>
      <c r="Y335" t="b">
        <f t="shared" si="83"/>
        <v>1</v>
      </c>
      <c r="Z335" t="b">
        <f t="shared" si="84"/>
        <v>1</v>
      </c>
      <c r="AA335" t="b">
        <f t="shared" si="85"/>
        <v>1</v>
      </c>
      <c r="AB335" t="b">
        <f t="shared" si="86"/>
        <v>1</v>
      </c>
      <c r="AC335" t="b">
        <f t="shared" si="87"/>
        <v>1</v>
      </c>
      <c r="AD335" t="b">
        <f t="shared" si="88"/>
        <v>1</v>
      </c>
      <c r="AE335" t="b">
        <f t="shared" si="89"/>
        <v>1</v>
      </c>
      <c r="AG335" s="1">
        <v>2689527</v>
      </c>
      <c r="AH335" t="s">
        <v>763</v>
      </c>
      <c r="AI335">
        <v>540</v>
      </c>
      <c r="AJ335" t="s">
        <v>503</v>
      </c>
      <c r="AK335" s="2">
        <v>46266</v>
      </c>
      <c r="AL335" s="2">
        <v>46266</v>
      </c>
      <c r="AM335" s="3">
        <v>2</v>
      </c>
      <c r="AN335" t="s">
        <v>11</v>
      </c>
      <c r="AO335" s="3">
        <v>5400</v>
      </c>
      <c r="AP335" t="s">
        <v>709</v>
      </c>
      <c r="AR335" t="s">
        <v>521</v>
      </c>
      <c r="AT335" t="s">
        <v>710</v>
      </c>
    </row>
    <row r="336" spans="1:47" x14ac:dyDescent="0.25">
      <c r="A336" s="1">
        <v>2732801</v>
      </c>
      <c r="B336" t="s">
        <v>377</v>
      </c>
      <c r="C336">
        <v>540</v>
      </c>
      <c r="D336" t="s">
        <v>1</v>
      </c>
      <c r="E336" s="2">
        <v>46245</v>
      </c>
      <c r="F336" s="2">
        <v>46266</v>
      </c>
      <c r="G336" s="3">
        <v>15</v>
      </c>
      <c r="H336" t="s">
        <v>11</v>
      </c>
      <c r="I336" s="3">
        <v>40500</v>
      </c>
      <c r="J336" t="s">
        <v>324</v>
      </c>
      <c r="K336" t="s">
        <v>4</v>
      </c>
      <c r="L336" t="s">
        <v>30</v>
      </c>
      <c r="M336" t="s">
        <v>6</v>
      </c>
      <c r="N336" t="s">
        <v>7</v>
      </c>
      <c r="O336" t="s">
        <v>7</v>
      </c>
      <c r="Q336" t="b">
        <f t="shared" si="75"/>
        <v>1</v>
      </c>
      <c r="R336" t="b">
        <f t="shared" si="76"/>
        <v>1</v>
      </c>
      <c r="S336" t="b">
        <f t="shared" si="77"/>
        <v>1</v>
      </c>
      <c r="T336" t="b">
        <f t="shared" si="78"/>
        <v>1</v>
      </c>
      <c r="U336" t="b">
        <f t="shared" si="79"/>
        <v>1</v>
      </c>
      <c r="V336" t="b">
        <f t="shared" si="80"/>
        <v>1</v>
      </c>
      <c r="W336" t="b">
        <f t="shared" si="81"/>
        <v>1</v>
      </c>
      <c r="X336" t="b">
        <f t="shared" si="82"/>
        <v>1</v>
      </c>
      <c r="Y336" t="b">
        <f t="shared" si="83"/>
        <v>1</v>
      </c>
      <c r="Z336" t="b">
        <f t="shared" si="84"/>
        <v>1</v>
      </c>
      <c r="AA336" t="b">
        <f t="shared" si="85"/>
        <v>1</v>
      </c>
      <c r="AB336" t="b">
        <f t="shared" si="86"/>
        <v>1</v>
      </c>
      <c r="AC336" t="b">
        <f t="shared" si="87"/>
        <v>1</v>
      </c>
      <c r="AD336" t="b">
        <f t="shared" si="88"/>
        <v>1</v>
      </c>
      <c r="AE336" t="b">
        <f t="shared" si="89"/>
        <v>1</v>
      </c>
      <c r="AG336" s="1">
        <v>2732801</v>
      </c>
      <c r="AH336" t="s">
        <v>847</v>
      </c>
      <c r="AI336">
        <v>540</v>
      </c>
      <c r="AJ336" t="s">
        <v>503</v>
      </c>
      <c r="AK336" s="2">
        <v>46245</v>
      </c>
      <c r="AL336" s="2">
        <v>46266</v>
      </c>
      <c r="AM336" s="3">
        <v>15</v>
      </c>
      <c r="AN336" t="s">
        <v>11</v>
      </c>
      <c r="AO336" s="3">
        <v>40500</v>
      </c>
      <c r="AP336" t="s">
        <v>796</v>
      </c>
      <c r="AR336" t="s">
        <v>521</v>
      </c>
    </row>
    <row r="337" spans="1:47" x14ac:dyDescent="0.25">
      <c r="A337" s="1">
        <v>2732865</v>
      </c>
      <c r="B337" t="s">
        <v>465</v>
      </c>
      <c r="C337">
        <v>540</v>
      </c>
      <c r="D337" t="s">
        <v>1</v>
      </c>
      <c r="E337" s="2">
        <v>46266</v>
      </c>
      <c r="F337" s="2">
        <v>46266</v>
      </c>
      <c r="G337" s="3">
        <v>18</v>
      </c>
      <c r="H337" t="s">
        <v>11</v>
      </c>
      <c r="I337" s="3">
        <v>39600</v>
      </c>
      <c r="J337" t="s">
        <v>167</v>
      </c>
      <c r="K337" t="s">
        <v>4</v>
      </c>
      <c r="L337" t="s">
        <v>22</v>
      </c>
      <c r="M337" t="s">
        <v>6</v>
      </c>
      <c r="N337" t="s">
        <v>7</v>
      </c>
      <c r="O337" t="s">
        <v>7</v>
      </c>
      <c r="Q337" t="b">
        <f t="shared" si="75"/>
        <v>1</v>
      </c>
      <c r="R337" t="b">
        <f t="shared" si="76"/>
        <v>1</v>
      </c>
      <c r="S337" t="b">
        <f t="shared" si="77"/>
        <v>1</v>
      </c>
      <c r="T337" t="b">
        <f t="shared" si="78"/>
        <v>1</v>
      </c>
      <c r="U337" t="b">
        <f t="shared" si="79"/>
        <v>1</v>
      </c>
      <c r="V337" t="b">
        <f t="shared" si="80"/>
        <v>1</v>
      </c>
      <c r="W337" t="b">
        <f t="shared" si="81"/>
        <v>1</v>
      </c>
      <c r="X337" t="b">
        <f t="shared" si="82"/>
        <v>1</v>
      </c>
      <c r="Y337" t="b">
        <f t="shared" si="83"/>
        <v>1</v>
      </c>
      <c r="Z337" t="b">
        <f t="shared" si="84"/>
        <v>1</v>
      </c>
      <c r="AA337" t="b">
        <f t="shared" si="85"/>
        <v>1</v>
      </c>
      <c r="AB337" t="b">
        <f t="shared" si="86"/>
        <v>1</v>
      </c>
      <c r="AC337" t="b">
        <f t="shared" si="87"/>
        <v>1</v>
      </c>
      <c r="AD337" t="b">
        <f t="shared" si="88"/>
        <v>1</v>
      </c>
      <c r="AE337" t="b">
        <f t="shared" si="89"/>
        <v>1</v>
      </c>
      <c r="AG337" s="1">
        <v>2732865</v>
      </c>
      <c r="AH337" t="s">
        <v>932</v>
      </c>
      <c r="AI337">
        <v>540</v>
      </c>
      <c r="AJ337" t="s">
        <v>503</v>
      </c>
      <c r="AK337" s="2">
        <v>46266</v>
      </c>
      <c r="AL337" s="2">
        <v>46266</v>
      </c>
      <c r="AM337" s="3">
        <v>18</v>
      </c>
      <c r="AN337" t="s">
        <v>11</v>
      </c>
      <c r="AO337" s="3">
        <v>39600</v>
      </c>
      <c r="AP337" t="s">
        <v>650</v>
      </c>
      <c r="AR337" t="s">
        <v>516</v>
      </c>
    </row>
    <row r="338" spans="1:47" x14ac:dyDescent="0.25">
      <c r="A338" s="1">
        <v>2737494</v>
      </c>
      <c r="B338" t="s">
        <v>359</v>
      </c>
      <c r="C338">
        <v>540</v>
      </c>
      <c r="D338" t="s">
        <v>1</v>
      </c>
      <c r="E338" s="2">
        <v>46266</v>
      </c>
      <c r="F338" s="2">
        <v>46266</v>
      </c>
      <c r="G338" s="3">
        <v>2</v>
      </c>
      <c r="H338" t="s">
        <v>20</v>
      </c>
      <c r="I338" s="3">
        <v>900</v>
      </c>
      <c r="J338" t="s">
        <v>425</v>
      </c>
      <c r="K338" t="s">
        <v>4</v>
      </c>
      <c r="L338" t="s">
        <v>40</v>
      </c>
      <c r="M338" t="s">
        <v>6</v>
      </c>
      <c r="N338" t="s">
        <v>7</v>
      </c>
      <c r="O338" t="s">
        <v>7</v>
      </c>
      <c r="Q338" t="b">
        <f t="shared" si="75"/>
        <v>1</v>
      </c>
      <c r="R338" t="b">
        <f t="shared" si="76"/>
        <v>1</v>
      </c>
      <c r="S338" t="b">
        <f t="shared" si="77"/>
        <v>1</v>
      </c>
      <c r="T338" t="b">
        <f t="shared" si="78"/>
        <v>1</v>
      </c>
      <c r="U338" t="b">
        <f t="shared" si="79"/>
        <v>1</v>
      </c>
      <c r="V338" t="b">
        <f t="shared" si="80"/>
        <v>1</v>
      </c>
      <c r="W338" t="b">
        <f t="shared" si="81"/>
        <v>1</v>
      </c>
      <c r="X338" t="b">
        <f t="shared" si="82"/>
        <v>1</v>
      </c>
      <c r="Y338" t="b">
        <f t="shared" si="83"/>
        <v>1</v>
      </c>
      <c r="Z338" t="b">
        <f t="shared" si="84"/>
        <v>1</v>
      </c>
      <c r="AA338" t="b">
        <f t="shared" si="85"/>
        <v>1</v>
      </c>
      <c r="AB338" t="b">
        <f t="shared" si="86"/>
        <v>1</v>
      </c>
      <c r="AC338" t="b">
        <f t="shared" si="87"/>
        <v>1</v>
      </c>
      <c r="AD338" t="b">
        <f t="shared" si="88"/>
        <v>1</v>
      </c>
      <c r="AE338" t="b">
        <f t="shared" si="89"/>
        <v>1</v>
      </c>
      <c r="AG338" s="1">
        <v>2737494</v>
      </c>
      <c r="AH338" t="s">
        <v>829</v>
      </c>
      <c r="AI338">
        <v>540</v>
      </c>
      <c r="AJ338" t="s">
        <v>503</v>
      </c>
      <c r="AK338" s="2">
        <v>46266</v>
      </c>
      <c r="AL338" s="2">
        <v>46266</v>
      </c>
      <c r="AM338" s="3">
        <v>2</v>
      </c>
      <c r="AN338" t="s">
        <v>20</v>
      </c>
      <c r="AO338" s="3">
        <v>900</v>
      </c>
      <c r="AP338" t="s">
        <v>895</v>
      </c>
      <c r="AR338" t="s">
        <v>531</v>
      </c>
    </row>
    <row r="339" spans="1:47" x14ac:dyDescent="0.25">
      <c r="A339" s="1">
        <v>2742692</v>
      </c>
      <c r="B339" t="s">
        <v>359</v>
      </c>
      <c r="C339">
        <v>540</v>
      </c>
      <c r="D339" t="s">
        <v>1</v>
      </c>
      <c r="E339" s="2">
        <v>46266</v>
      </c>
      <c r="F339" s="2">
        <v>46266</v>
      </c>
      <c r="G339" s="3">
        <v>1</v>
      </c>
      <c r="H339" t="s">
        <v>20</v>
      </c>
      <c r="I339" s="3">
        <v>440</v>
      </c>
      <c r="J339" t="s">
        <v>360</v>
      </c>
      <c r="K339" t="s">
        <v>4</v>
      </c>
      <c r="L339" t="s">
        <v>40</v>
      </c>
      <c r="M339" t="s">
        <v>6</v>
      </c>
      <c r="N339" t="s">
        <v>7</v>
      </c>
      <c r="O339" t="s">
        <v>7</v>
      </c>
      <c r="Q339" t="b">
        <f t="shared" si="75"/>
        <v>1</v>
      </c>
      <c r="R339" t="b">
        <f t="shared" si="76"/>
        <v>1</v>
      </c>
      <c r="S339" t="b">
        <f t="shared" si="77"/>
        <v>1</v>
      </c>
      <c r="T339" t="b">
        <f t="shared" si="78"/>
        <v>1</v>
      </c>
      <c r="U339" t="b">
        <f t="shared" si="79"/>
        <v>1</v>
      </c>
      <c r="V339" t="b">
        <f t="shared" si="80"/>
        <v>1</v>
      </c>
      <c r="W339" t="b">
        <f t="shared" si="81"/>
        <v>1</v>
      </c>
      <c r="X339" t="b">
        <f t="shared" si="82"/>
        <v>1</v>
      </c>
      <c r="Y339" t="b">
        <f t="shared" si="83"/>
        <v>1</v>
      </c>
      <c r="Z339" t="b">
        <f t="shared" si="84"/>
        <v>1</v>
      </c>
      <c r="AA339" t="b">
        <f t="shared" si="85"/>
        <v>1</v>
      </c>
      <c r="AB339" t="b">
        <f t="shared" si="86"/>
        <v>1</v>
      </c>
      <c r="AC339" t="b">
        <f t="shared" si="87"/>
        <v>1</v>
      </c>
      <c r="AD339" t="b">
        <f t="shared" si="88"/>
        <v>1</v>
      </c>
      <c r="AE339" t="b">
        <f t="shared" si="89"/>
        <v>1</v>
      </c>
      <c r="AG339" s="1">
        <v>2742692</v>
      </c>
      <c r="AH339" t="s">
        <v>829</v>
      </c>
      <c r="AI339">
        <v>540</v>
      </c>
      <c r="AJ339" t="s">
        <v>503</v>
      </c>
      <c r="AK339" s="2">
        <v>46266</v>
      </c>
      <c r="AL339" s="2">
        <v>46266</v>
      </c>
      <c r="AM339" s="3">
        <v>1</v>
      </c>
      <c r="AN339" t="s">
        <v>20</v>
      </c>
      <c r="AO339" s="3">
        <v>440</v>
      </c>
      <c r="AP339" t="s">
        <v>830</v>
      </c>
      <c r="AR339" t="s">
        <v>531</v>
      </c>
    </row>
    <row r="340" spans="1:47" x14ac:dyDescent="0.25">
      <c r="A340" s="1">
        <v>2740571</v>
      </c>
      <c r="B340" t="s">
        <v>265</v>
      </c>
      <c r="C340">
        <v>540</v>
      </c>
      <c r="D340" t="s">
        <v>1</v>
      </c>
      <c r="E340" s="2">
        <v>46267</v>
      </c>
      <c r="F340" s="2">
        <v>46267</v>
      </c>
      <c r="G340" s="3">
        <v>1</v>
      </c>
      <c r="H340" t="s">
        <v>11</v>
      </c>
      <c r="I340" s="3">
        <v>2300</v>
      </c>
      <c r="J340" t="s">
        <v>266</v>
      </c>
      <c r="K340" t="s">
        <v>4</v>
      </c>
      <c r="L340" t="s">
        <v>108</v>
      </c>
      <c r="M340" t="s">
        <v>6</v>
      </c>
      <c r="N340" t="s">
        <v>7</v>
      </c>
      <c r="O340" t="s">
        <v>7</v>
      </c>
      <c r="Q340" t="b">
        <f t="shared" si="75"/>
        <v>1</v>
      </c>
      <c r="R340" t="b">
        <f t="shared" si="76"/>
        <v>1</v>
      </c>
      <c r="S340" t="b">
        <f t="shared" si="77"/>
        <v>1</v>
      </c>
      <c r="T340" t="b">
        <f t="shared" si="78"/>
        <v>1</v>
      </c>
      <c r="U340" t="b">
        <f t="shared" si="79"/>
        <v>1</v>
      </c>
      <c r="V340" t="b">
        <f t="shared" si="80"/>
        <v>1</v>
      </c>
      <c r="W340" t="b">
        <f t="shared" si="81"/>
        <v>1</v>
      </c>
      <c r="X340" t="b">
        <f t="shared" si="82"/>
        <v>1</v>
      </c>
      <c r="Y340" t="b">
        <f t="shared" si="83"/>
        <v>1</v>
      </c>
      <c r="Z340" t="b">
        <f t="shared" si="84"/>
        <v>1</v>
      </c>
      <c r="AA340" t="b">
        <f t="shared" si="85"/>
        <v>1</v>
      </c>
      <c r="AB340" t="b">
        <f t="shared" si="86"/>
        <v>1</v>
      </c>
      <c r="AC340" t="b">
        <f t="shared" si="87"/>
        <v>1</v>
      </c>
      <c r="AD340" t="b">
        <f t="shared" si="88"/>
        <v>1</v>
      </c>
      <c r="AE340" t="b">
        <f t="shared" si="89"/>
        <v>1</v>
      </c>
      <c r="AG340" s="1">
        <v>2740571</v>
      </c>
      <c r="AH340" t="s">
        <v>742</v>
      </c>
      <c r="AI340">
        <v>540</v>
      </c>
      <c r="AJ340" t="s">
        <v>503</v>
      </c>
      <c r="AK340" s="2">
        <v>46267</v>
      </c>
      <c r="AL340" s="2">
        <v>46267</v>
      </c>
      <c r="AM340" s="3">
        <v>1</v>
      </c>
      <c r="AN340" t="s">
        <v>11</v>
      </c>
      <c r="AO340" s="3">
        <v>2300</v>
      </c>
      <c r="AP340" t="s">
        <v>743</v>
      </c>
      <c r="AR340" t="s">
        <v>595</v>
      </c>
    </row>
    <row r="341" spans="1:47" x14ac:dyDescent="0.25">
      <c r="A341" s="1">
        <v>2743309</v>
      </c>
      <c r="B341" t="s">
        <v>466</v>
      </c>
      <c r="C341">
        <v>525</v>
      </c>
      <c r="D341" t="s">
        <v>1</v>
      </c>
      <c r="E341" s="2">
        <v>46267</v>
      </c>
      <c r="F341" s="2">
        <v>46267</v>
      </c>
      <c r="G341" s="3">
        <v>30</v>
      </c>
      <c r="H341" t="s">
        <v>2</v>
      </c>
      <c r="I341" s="3">
        <v>1200</v>
      </c>
      <c r="J341" t="s">
        <v>3</v>
      </c>
      <c r="K341" t="s">
        <v>130</v>
      </c>
      <c r="L341" t="s">
        <v>37</v>
      </c>
      <c r="M341" t="s">
        <v>6</v>
      </c>
      <c r="N341" t="s">
        <v>7</v>
      </c>
      <c r="O341" t="s">
        <v>467</v>
      </c>
      <c r="Q341" t="b">
        <f t="shared" si="75"/>
        <v>1</v>
      </c>
      <c r="R341" t="b">
        <f t="shared" si="76"/>
        <v>1</v>
      </c>
      <c r="S341" t="b">
        <f t="shared" si="77"/>
        <v>1</v>
      </c>
      <c r="T341" t="b">
        <f t="shared" si="78"/>
        <v>1</v>
      </c>
      <c r="U341" t="b">
        <f t="shared" si="79"/>
        <v>1</v>
      </c>
      <c r="V341" t="b">
        <f t="shared" si="80"/>
        <v>1</v>
      </c>
      <c r="W341" t="b">
        <f t="shared" si="81"/>
        <v>1</v>
      </c>
      <c r="X341" t="b">
        <f t="shared" si="82"/>
        <v>1</v>
      </c>
      <c r="Y341" t="b">
        <f t="shared" si="83"/>
        <v>1</v>
      </c>
      <c r="Z341" t="b">
        <f t="shared" si="84"/>
        <v>1</v>
      </c>
      <c r="AA341" t="b">
        <f t="shared" si="85"/>
        <v>1</v>
      </c>
      <c r="AB341" t="b">
        <f t="shared" si="86"/>
        <v>1</v>
      </c>
      <c r="AC341" t="b">
        <f t="shared" si="87"/>
        <v>1</v>
      </c>
      <c r="AD341" t="b">
        <f t="shared" si="88"/>
        <v>1</v>
      </c>
      <c r="AE341" t="b">
        <f t="shared" si="89"/>
        <v>1</v>
      </c>
      <c r="AG341" s="1">
        <v>2743309</v>
      </c>
      <c r="AH341" t="s">
        <v>933</v>
      </c>
      <c r="AI341">
        <v>525</v>
      </c>
      <c r="AJ341" t="s">
        <v>503</v>
      </c>
      <c r="AK341" s="2">
        <v>46267</v>
      </c>
      <c r="AL341" s="2">
        <v>46267</v>
      </c>
      <c r="AM341" s="3">
        <v>30</v>
      </c>
      <c r="AN341" t="s">
        <v>2</v>
      </c>
      <c r="AO341" s="3">
        <v>1200</v>
      </c>
      <c r="AP341" t="s">
        <v>504</v>
      </c>
      <c r="AQ341" t="s">
        <v>130</v>
      </c>
      <c r="AR341" t="s">
        <v>528</v>
      </c>
      <c r="AU341" t="s">
        <v>934</v>
      </c>
    </row>
    <row r="342" spans="1:47" x14ac:dyDescent="0.25">
      <c r="A342" s="1">
        <v>2743309</v>
      </c>
      <c r="B342" t="s">
        <v>466</v>
      </c>
      <c r="C342">
        <v>525</v>
      </c>
      <c r="D342" t="s">
        <v>1</v>
      </c>
      <c r="E342" s="2">
        <v>46267</v>
      </c>
      <c r="F342" s="2">
        <v>46267</v>
      </c>
      <c r="G342" s="3">
        <v>10</v>
      </c>
      <c r="H342" t="s">
        <v>8</v>
      </c>
      <c r="I342" s="3">
        <v>440</v>
      </c>
      <c r="J342" t="s">
        <v>9</v>
      </c>
      <c r="K342" t="s">
        <v>130</v>
      </c>
      <c r="L342" t="s">
        <v>37</v>
      </c>
      <c r="M342" t="s">
        <v>6</v>
      </c>
      <c r="N342" t="s">
        <v>7</v>
      </c>
      <c r="O342" t="s">
        <v>467</v>
      </c>
      <c r="Q342" t="b">
        <f t="shared" si="75"/>
        <v>1</v>
      </c>
      <c r="R342" t="b">
        <f t="shared" si="76"/>
        <v>1</v>
      </c>
      <c r="S342" t="b">
        <f t="shared" si="77"/>
        <v>1</v>
      </c>
      <c r="T342" t="b">
        <f t="shared" si="78"/>
        <v>1</v>
      </c>
      <c r="U342" t="b">
        <f t="shared" si="79"/>
        <v>1</v>
      </c>
      <c r="V342" t="b">
        <f t="shared" si="80"/>
        <v>1</v>
      </c>
      <c r="W342" t="b">
        <f t="shared" si="81"/>
        <v>1</v>
      </c>
      <c r="X342" t="b">
        <f t="shared" si="82"/>
        <v>1</v>
      </c>
      <c r="Y342" t="b">
        <f t="shared" si="83"/>
        <v>1</v>
      </c>
      <c r="Z342" t="b">
        <f t="shared" si="84"/>
        <v>1</v>
      </c>
      <c r="AA342" t="b">
        <f t="shared" si="85"/>
        <v>1</v>
      </c>
      <c r="AB342" t="b">
        <f t="shared" si="86"/>
        <v>1</v>
      </c>
      <c r="AC342" t="b">
        <f t="shared" si="87"/>
        <v>1</v>
      </c>
      <c r="AD342" t="b">
        <f t="shared" si="88"/>
        <v>1</v>
      </c>
      <c r="AE342" t="b">
        <f t="shared" si="89"/>
        <v>1</v>
      </c>
      <c r="AG342" s="1">
        <v>2743309</v>
      </c>
      <c r="AH342" t="s">
        <v>933</v>
      </c>
      <c r="AI342">
        <v>525</v>
      </c>
      <c r="AJ342" t="s">
        <v>503</v>
      </c>
      <c r="AK342" s="2">
        <v>46267</v>
      </c>
      <c r="AL342" s="2">
        <v>46267</v>
      </c>
      <c r="AM342" s="3">
        <v>10</v>
      </c>
      <c r="AN342" t="s">
        <v>8</v>
      </c>
      <c r="AO342" s="3">
        <v>440</v>
      </c>
      <c r="AP342" t="s">
        <v>506</v>
      </c>
      <c r="AQ342" t="s">
        <v>130</v>
      </c>
      <c r="AR342" t="s">
        <v>528</v>
      </c>
      <c r="AU342" t="s">
        <v>934</v>
      </c>
    </row>
    <row r="343" spans="1:47" x14ac:dyDescent="0.25">
      <c r="A343" s="1">
        <v>2743372</v>
      </c>
      <c r="B343" t="s">
        <v>50</v>
      </c>
      <c r="C343">
        <v>530</v>
      </c>
      <c r="D343" t="s">
        <v>1</v>
      </c>
      <c r="E343" s="2">
        <v>46218</v>
      </c>
      <c r="F343" s="2">
        <v>46267</v>
      </c>
      <c r="G343" s="3">
        <v>5</v>
      </c>
      <c r="H343" t="s">
        <v>468</v>
      </c>
      <c r="I343" s="3">
        <v>0</v>
      </c>
      <c r="J343" t="s">
        <v>469</v>
      </c>
      <c r="K343" t="s">
        <v>4</v>
      </c>
      <c r="L343" t="s">
        <v>146</v>
      </c>
      <c r="M343" t="s">
        <v>6</v>
      </c>
      <c r="N343" t="s">
        <v>7</v>
      </c>
      <c r="O343" t="s">
        <v>53</v>
      </c>
      <c r="Q343" t="b">
        <f t="shared" si="75"/>
        <v>1</v>
      </c>
      <c r="R343" t="b">
        <f t="shared" si="76"/>
        <v>1</v>
      </c>
      <c r="S343" t="b">
        <f t="shared" si="77"/>
        <v>1</v>
      </c>
      <c r="T343" t="b">
        <f t="shared" si="78"/>
        <v>1</v>
      </c>
      <c r="U343" t="b">
        <f t="shared" si="79"/>
        <v>1</v>
      </c>
      <c r="V343" t="b">
        <f t="shared" si="80"/>
        <v>1</v>
      </c>
      <c r="W343" t="b">
        <f t="shared" si="81"/>
        <v>1</v>
      </c>
      <c r="X343" t="b">
        <f t="shared" si="82"/>
        <v>1</v>
      </c>
      <c r="Y343" t="b">
        <f t="shared" si="83"/>
        <v>1</v>
      </c>
      <c r="Z343" t="b">
        <f t="shared" si="84"/>
        <v>1</v>
      </c>
      <c r="AA343" t="b">
        <f t="shared" si="85"/>
        <v>1</v>
      </c>
      <c r="AB343" t="b">
        <f t="shared" si="86"/>
        <v>1</v>
      </c>
      <c r="AC343" t="b">
        <f t="shared" si="87"/>
        <v>1</v>
      </c>
      <c r="AD343" t="b">
        <f t="shared" si="88"/>
        <v>1</v>
      </c>
      <c r="AE343" t="b">
        <f t="shared" si="89"/>
        <v>1</v>
      </c>
      <c r="AG343" s="1">
        <v>2743372</v>
      </c>
      <c r="AH343" t="s">
        <v>539</v>
      </c>
      <c r="AI343">
        <v>530</v>
      </c>
      <c r="AJ343" t="s">
        <v>503</v>
      </c>
      <c r="AK343" s="2">
        <v>46218</v>
      </c>
      <c r="AL343" s="2">
        <v>46267</v>
      </c>
      <c r="AM343" s="3">
        <v>5</v>
      </c>
      <c r="AN343" t="s">
        <v>468</v>
      </c>
      <c r="AO343" s="3">
        <v>0</v>
      </c>
      <c r="AP343" t="s">
        <v>935</v>
      </c>
      <c r="AR343" t="s">
        <v>631</v>
      </c>
      <c r="AU343" t="s">
        <v>541</v>
      </c>
    </row>
    <row r="344" spans="1:47" x14ac:dyDescent="0.25">
      <c r="A344" s="1">
        <v>2569175</v>
      </c>
      <c r="B344" t="s">
        <v>19</v>
      </c>
      <c r="C344">
        <v>540</v>
      </c>
      <c r="D344" t="s">
        <v>1</v>
      </c>
      <c r="E344" s="2">
        <v>46268</v>
      </c>
      <c r="F344" s="2">
        <v>46268</v>
      </c>
      <c r="G344" s="3">
        <v>80</v>
      </c>
      <c r="H344" t="s">
        <v>20</v>
      </c>
      <c r="I344" s="3">
        <v>36000</v>
      </c>
      <c r="J344" t="s">
        <v>21</v>
      </c>
      <c r="K344" t="s">
        <v>4</v>
      </c>
      <c r="L344" t="s">
        <v>22</v>
      </c>
      <c r="M344" t="s">
        <v>6</v>
      </c>
      <c r="N344" t="s">
        <v>7</v>
      </c>
      <c r="O344" t="s">
        <v>7</v>
      </c>
      <c r="Q344" t="b">
        <f t="shared" si="75"/>
        <v>1</v>
      </c>
      <c r="R344" t="b">
        <f t="shared" si="76"/>
        <v>1</v>
      </c>
      <c r="S344" t="b">
        <f t="shared" si="77"/>
        <v>1</v>
      </c>
      <c r="T344" t="b">
        <f t="shared" si="78"/>
        <v>1</v>
      </c>
      <c r="U344" t="b">
        <f t="shared" si="79"/>
        <v>1</v>
      </c>
      <c r="V344" t="b">
        <f t="shared" si="80"/>
        <v>1</v>
      </c>
      <c r="W344" t="b">
        <f t="shared" si="81"/>
        <v>1</v>
      </c>
      <c r="X344" t="b">
        <f t="shared" si="82"/>
        <v>1</v>
      </c>
      <c r="Y344" t="b">
        <f t="shared" si="83"/>
        <v>1</v>
      </c>
      <c r="Z344" t="b">
        <f t="shared" si="84"/>
        <v>1</v>
      </c>
      <c r="AA344" t="b">
        <f t="shared" si="85"/>
        <v>1</v>
      </c>
      <c r="AB344" t="b">
        <f t="shared" si="86"/>
        <v>1</v>
      </c>
      <c r="AC344" t="b">
        <f t="shared" si="87"/>
        <v>1</v>
      </c>
      <c r="AD344" t="b">
        <f t="shared" si="88"/>
        <v>1</v>
      </c>
      <c r="AE344" t="b">
        <f t="shared" si="89"/>
        <v>1</v>
      </c>
      <c r="AG344" s="1">
        <v>2569175</v>
      </c>
      <c r="AH344" t="s">
        <v>514</v>
      </c>
      <c r="AI344">
        <v>540</v>
      </c>
      <c r="AJ344" t="s">
        <v>503</v>
      </c>
      <c r="AK344" s="2">
        <v>46268</v>
      </c>
      <c r="AL344" s="2">
        <v>46268</v>
      </c>
      <c r="AM344" s="3">
        <v>80</v>
      </c>
      <c r="AN344" t="s">
        <v>20</v>
      </c>
      <c r="AO344" s="3">
        <v>36000</v>
      </c>
      <c r="AP344" t="s">
        <v>515</v>
      </c>
      <c r="AR344" t="s">
        <v>516</v>
      </c>
    </row>
    <row r="345" spans="1:47" x14ac:dyDescent="0.25">
      <c r="A345" s="1">
        <v>2708883</v>
      </c>
      <c r="B345" t="s">
        <v>93</v>
      </c>
      <c r="C345">
        <v>540</v>
      </c>
      <c r="D345" t="s">
        <v>1</v>
      </c>
      <c r="E345" s="2">
        <v>46269</v>
      </c>
      <c r="F345" s="2">
        <v>46269</v>
      </c>
      <c r="G345" s="3">
        <v>24</v>
      </c>
      <c r="H345" t="s">
        <v>20</v>
      </c>
      <c r="I345" s="3">
        <v>10800</v>
      </c>
      <c r="J345" t="s">
        <v>107</v>
      </c>
      <c r="K345" t="s">
        <v>4</v>
      </c>
      <c r="L345" t="s">
        <v>37</v>
      </c>
      <c r="M345" t="s">
        <v>6</v>
      </c>
      <c r="N345" t="s">
        <v>7</v>
      </c>
      <c r="O345" t="s">
        <v>7</v>
      </c>
      <c r="Q345" t="b">
        <f t="shared" si="75"/>
        <v>1</v>
      </c>
      <c r="R345" t="b">
        <f t="shared" si="76"/>
        <v>1</v>
      </c>
      <c r="S345" t="b">
        <f t="shared" si="77"/>
        <v>1</v>
      </c>
      <c r="T345" t="b">
        <f t="shared" si="78"/>
        <v>1</v>
      </c>
      <c r="U345" t="b">
        <f t="shared" si="79"/>
        <v>1</v>
      </c>
      <c r="V345" t="b">
        <f t="shared" si="80"/>
        <v>1</v>
      </c>
      <c r="W345" t="b">
        <f t="shared" si="81"/>
        <v>1</v>
      </c>
      <c r="X345" t="b">
        <f t="shared" si="82"/>
        <v>1</v>
      </c>
      <c r="Y345" t="b">
        <f t="shared" si="83"/>
        <v>1</v>
      </c>
      <c r="Z345" t="b">
        <f t="shared" si="84"/>
        <v>1</v>
      </c>
      <c r="AA345" t="b">
        <f t="shared" si="85"/>
        <v>1</v>
      </c>
      <c r="AB345" t="b">
        <f t="shared" si="86"/>
        <v>1</v>
      </c>
      <c r="AC345" t="b">
        <f t="shared" si="87"/>
        <v>1</v>
      </c>
      <c r="AD345" t="b">
        <f t="shared" si="88"/>
        <v>1</v>
      </c>
      <c r="AE345" t="b">
        <f t="shared" si="89"/>
        <v>1</v>
      </c>
      <c r="AG345" s="1">
        <v>2708883</v>
      </c>
      <c r="AH345" t="s">
        <v>580</v>
      </c>
      <c r="AI345">
        <v>540</v>
      </c>
      <c r="AJ345" t="s">
        <v>503</v>
      </c>
      <c r="AK345" s="2">
        <v>46269</v>
      </c>
      <c r="AL345" s="2">
        <v>46269</v>
      </c>
      <c r="AM345" s="3">
        <v>24</v>
      </c>
      <c r="AN345" t="s">
        <v>20</v>
      </c>
      <c r="AO345" s="3">
        <v>10800</v>
      </c>
      <c r="AP345" t="s">
        <v>594</v>
      </c>
      <c r="AR345" t="s">
        <v>528</v>
      </c>
    </row>
    <row r="346" spans="1:47" x14ac:dyDescent="0.25">
      <c r="A346" s="1">
        <v>2708884</v>
      </c>
      <c r="B346" t="s">
        <v>93</v>
      </c>
      <c r="C346">
        <v>540</v>
      </c>
      <c r="D346" t="s">
        <v>1</v>
      </c>
      <c r="E346" s="2">
        <v>46269</v>
      </c>
      <c r="F346" s="2">
        <v>46269</v>
      </c>
      <c r="G346" s="3">
        <v>12</v>
      </c>
      <c r="H346" t="s">
        <v>20</v>
      </c>
      <c r="I346" s="3">
        <v>5400</v>
      </c>
      <c r="J346" t="s">
        <v>470</v>
      </c>
      <c r="K346" t="s">
        <v>4</v>
      </c>
      <c r="L346" t="s">
        <v>37</v>
      </c>
      <c r="M346" t="s">
        <v>6</v>
      </c>
      <c r="N346" t="s">
        <v>7</v>
      </c>
      <c r="O346" t="s">
        <v>7</v>
      </c>
      <c r="Q346" t="b">
        <f t="shared" si="75"/>
        <v>1</v>
      </c>
      <c r="R346" t="b">
        <f t="shared" si="76"/>
        <v>1</v>
      </c>
      <c r="S346" t="b">
        <f t="shared" si="77"/>
        <v>1</v>
      </c>
      <c r="T346" t="b">
        <f t="shared" si="78"/>
        <v>1</v>
      </c>
      <c r="U346" t="b">
        <f t="shared" si="79"/>
        <v>1</v>
      </c>
      <c r="V346" t="b">
        <f t="shared" si="80"/>
        <v>1</v>
      </c>
      <c r="W346" t="b">
        <f t="shared" si="81"/>
        <v>1</v>
      </c>
      <c r="X346" t="b">
        <f t="shared" si="82"/>
        <v>1</v>
      </c>
      <c r="Y346" t="b">
        <f t="shared" si="83"/>
        <v>1</v>
      </c>
      <c r="Z346" t="b">
        <f t="shared" si="84"/>
        <v>1</v>
      </c>
      <c r="AA346" t="b">
        <f t="shared" si="85"/>
        <v>1</v>
      </c>
      <c r="AB346" t="b">
        <f t="shared" si="86"/>
        <v>1</v>
      </c>
      <c r="AC346" t="b">
        <f t="shared" si="87"/>
        <v>1</v>
      </c>
      <c r="AD346" t="b">
        <f t="shared" si="88"/>
        <v>1</v>
      </c>
      <c r="AE346" t="b">
        <f t="shared" si="89"/>
        <v>1</v>
      </c>
      <c r="AG346" s="1">
        <v>2708884</v>
      </c>
      <c r="AH346" t="s">
        <v>580</v>
      </c>
      <c r="AI346">
        <v>540</v>
      </c>
      <c r="AJ346" t="s">
        <v>503</v>
      </c>
      <c r="AK346" s="2">
        <v>46269</v>
      </c>
      <c r="AL346" s="2">
        <v>46269</v>
      </c>
      <c r="AM346" s="3">
        <v>12</v>
      </c>
      <c r="AN346" t="s">
        <v>20</v>
      </c>
      <c r="AO346" s="3">
        <v>5400</v>
      </c>
      <c r="AP346" t="s">
        <v>936</v>
      </c>
      <c r="AR346" t="s">
        <v>528</v>
      </c>
    </row>
    <row r="347" spans="1:47" x14ac:dyDescent="0.25">
      <c r="A347" s="1">
        <v>2718044</v>
      </c>
      <c r="B347" t="s">
        <v>24</v>
      </c>
      <c r="C347">
        <v>540</v>
      </c>
      <c r="D347" t="s">
        <v>1</v>
      </c>
      <c r="E347" s="2">
        <v>46269</v>
      </c>
      <c r="F347" s="2">
        <v>46269</v>
      </c>
      <c r="G347" s="3">
        <v>14</v>
      </c>
      <c r="H347" t="s">
        <v>11</v>
      </c>
      <c r="I347" s="3">
        <v>30800</v>
      </c>
      <c r="J347" t="s">
        <v>25</v>
      </c>
      <c r="K347" t="s">
        <v>4</v>
      </c>
      <c r="L347" t="s">
        <v>22</v>
      </c>
      <c r="M347" t="s">
        <v>6</v>
      </c>
      <c r="N347" t="s">
        <v>7</v>
      </c>
      <c r="O347" t="s">
        <v>7</v>
      </c>
      <c r="Q347" t="b">
        <f t="shared" si="75"/>
        <v>1</v>
      </c>
      <c r="R347" t="b">
        <f t="shared" si="76"/>
        <v>1</v>
      </c>
      <c r="S347" t="b">
        <f t="shared" si="77"/>
        <v>1</v>
      </c>
      <c r="T347" t="b">
        <f t="shared" si="78"/>
        <v>1</v>
      </c>
      <c r="U347" t="b">
        <f t="shared" si="79"/>
        <v>1</v>
      </c>
      <c r="V347" t="b">
        <f t="shared" si="80"/>
        <v>1</v>
      </c>
      <c r="W347" t="b">
        <f t="shared" si="81"/>
        <v>1</v>
      </c>
      <c r="X347" t="b">
        <f t="shared" si="82"/>
        <v>1</v>
      </c>
      <c r="Y347" t="b">
        <f t="shared" si="83"/>
        <v>1</v>
      </c>
      <c r="Z347" t="b">
        <f t="shared" si="84"/>
        <v>1</v>
      </c>
      <c r="AA347" t="b">
        <f t="shared" si="85"/>
        <v>1</v>
      </c>
      <c r="AB347" t="b">
        <f t="shared" si="86"/>
        <v>1</v>
      </c>
      <c r="AC347" t="b">
        <f t="shared" si="87"/>
        <v>1</v>
      </c>
      <c r="AD347" t="b">
        <f t="shared" si="88"/>
        <v>1</v>
      </c>
      <c r="AE347" t="b">
        <f t="shared" si="89"/>
        <v>1</v>
      </c>
      <c r="AG347" s="1">
        <v>2718044</v>
      </c>
      <c r="AH347" t="s">
        <v>517</v>
      </c>
      <c r="AI347">
        <v>540</v>
      </c>
      <c r="AJ347" t="s">
        <v>503</v>
      </c>
      <c r="AK347" s="2">
        <v>46269</v>
      </c>
      <c r="AL347" s="2">
        <v>46269</v>
      </c>
      <c r="AM347" s="3">
        <v>14</v>
      </c>
      <c r="AN347" t="s">
        <v>11</v>
      </c>
      <c r="AO347" s="3">
        <v>30800</v>
      </c>
      <c r="AP347" t="s">
        <v>518</v>
      </c>
      <c r="AR347" t="s">
        <v>516</v>
      </c>
    </row>
    <row r="348" spans="1:47" x14ac:dyDescent="0.25">
      <c r="A348" s="1">
        <v>2730042</v>
      </c>
      <c r="B348" t="s">
        <v>373</v>
      </c>
      <c r="C348">
        <v>540</v>
      </c>
      <c r="D348" t="s">
        <v>1</v>
      </c>
      <c r="E348" s="2">
        <v>46272</v>
      </c>
      <c r="F348" s="2">
        <v>46272</v>
      </c>
      <c r="G348" s="3">
        <v>2</v>
      </c>
      <c r="H348" t="s">
        <v>11</v>
      </c>
      <c r="I348" s="3">
        <v>4400</v>
      </c>
      <c r="J348" t="s">
        <v>374</v>
      </c>
      <c r="K348" t="s">
        <v>4</v>
      </c>
      <c r="L348" t="s">
        <v>108</v>
      </c>
      <c r="M348" t="s">
        <v>6</v>
      </c>
      <c r="N348" t="s">
        <v>7</v>
      </c>
      <c r="O348" t="s">
        <v>7</v>
      </c>
      <c r="Q348" t="b">
        <f t="shared" si="75"/>
        <v>1</v>
      </c>
      <c r="R348" t="b">
        <f t="shared" si="76"/>
        <v>1</v>
      </c>
      <c r="S348" t="b">
        <f t="shared" si="77"/>
        <v>1</v>
      </c>
      <c r="T348" t="b">
        <f t="shared" si="78"/>
        <v>1</v>
      </c>
      <c r="U348" t="b">
        <f t="shared" si="79"/>
        <v>1</v>
      </c>
      <c r="V348" t="b">
        <f t="shared" si="80"/>
        <v>1</v>
      </c>
      <c r="W348" t="b">
        <f t="shared" si="81"/>
        <v>1</v>
      </c>
      <c r="X348" t="b">
        <f t="shared" si="82"/>
        <v>1</v>
      </c>
      <c r="Y348" t="b">
        <f t="shared" si="83"/>
        <v>1</v>
      </c>
      <c r="Z348" t="b">
        <f t="shared" si="84"/>
        <v>1</v>
      </c>
      <c r="AA348" t="b">
        <f t="shared" si="85"/>
        <v>1</v>
      </c>
      <c r="AB348" t="b">
        <f t="shared" si="86"/>
        <v>1</v>
      </c>
      <c r="AC348" t="b">
        <f t="shared" si="87"/>
        <v>1</v>
      </c>
      <c r="AD348" t="b">
        <f t="shared" si="88"/>
        <v>1</v>
      </c>
      <c r="AE348" t="b">
        <f t="shared" si="89"/>
        <v>1</v>
      </c>
      <c r="AG348" s="1">
        <v>2730042</v>
      </c>
      <c r="AH348" t="s">
        <v>843</v>
      </c>
      <c r="AI348">
        <v>540</v>
      </c>
      <c r="AJ348" t="s">
        <v>503</v>
      </c>
      <c r="AK348" s="2">
        <v>46272</v>
      </c>
      <c r="AL348" s="2">
        <v>46272</v>
      </c>
      <c r="AM348" s="3">
        <v>2</v>
      </c>
      <c r="AN348" t="s">
        <v>11</v>
      </c>
      <c r="AO348" s="3">
        <v>4400</v>
      </c>
      <c r="AP348" t="s">
        <v>844</v>
      </c>
      <c r="AR348" t="s">
        <v>595</v>
      </c>
    </row>
    <row r="349" spans="1:47" x14ac:dyDescent="0.25">
      <c r="A349" s="1">
        <v>2634269</v>
      </c>
      <c r="B349" t="s">
        <v>287</v>
      </c>
      <c r="C349">
        <v>540</v>
      </c>
      <c r="D349" t="s">
        <v>1</v>
      </c>
      <c r="E349" s="2">
        <v>46273</v>
      </c>
      <c r="F349" s="2">
        <v>46273</v>
      </c>
      <c r="G349" s="3">
        <v>12</v>
      </c>
      <c r="H349" t="s">
        <v>20</v>
      </c>
      <c r="I349" s="3">
        <v>5400</v>
      </c>
      <c r="J349" t="s">
        <v>105</v>
      </c>
      <c r="K349" t="s">
        <v>4</v>
      </c>
      <c r="L349" t="s">
        <v>30</v>
      </c>
      <c r="M349" t="s">
        <v>6</v>
      </c>
      <c r="N349" t="s">
        <v>231</v>
      </c>
      <c r="O349" t="s">
        <v>7</v>
      </c>
      <c r="Q349" t="b">
        <f t="shared" si="75"/>
        <v>1</v>
      </c>
      <c r="R349" t="b">
        <f t="shared" si="76"/>
        <v>1</v>
      </c>
      <c r="S349" t="b">
        <f t="shared" si="77"/>
        <v>1</v>
      </c>
      <c r="T349" t="b">
        <f t="shared" si="78"/>
        <v>1</v>
      </c>
      <c r="U349" t="b">
        <f t="shared" si="79"/>
        <v>1</v>
      </c>
      <c r="V349" t="b">
        <f t="shared" si="80"/>
        <v>1</v>
      </c>
      <c r="W349" t="b">
        <f t="shared" si="81"/>
        <v>1</v>
      </c>
      <c r="X349" t="b">
        <f t="shared" si="82"/>
        <v>1</v>
      </c>
      <c r="Y349" t="b">
        <f t="shared" si="83"/>
        <v>1</v>
      </c>
      <c r="Z349" t="b">
        <f t="shared" si="84"/>
        <v>1</v>
      </c>
      <c r="AA349" t="b">
        <f t="shared" si="85"/>
        <v>1</v>
      </c>
      <c r="AB349" t="b">
        <f t="shared" si="86"/>
        <v>1</v>
      </c>
      <c r="AC349" t="b">
        <f t="shared" si="87"/>
        <v>1</v>
      </c>
      <c r="AD349" t="b">
        <f t="shared" si="88"/>
        <v>1</v>
      </c>
      <c r="AE349" t="b">
        <f t="shared" si="89"/>
        <v>1</v>
      </c>
      <c r="AG349" s="1">
        <v>2634269</v>
      </c>
      <c r="AH349" t="s">
        <v>763</v>
      </c>
      <c r="AI349">
        <v>540</v>
      </c>
      <c r="AJ349" t="s">
        <v>503</v>
      </c>
      <c r="AK349" s="2">
        <v>46273</v>
      </c>
      <c r="AL349" s="2">
        <v>46273</v>
      </c>
      <c r="AM349" s="3">
        <v>12</v>
      </c>
      <c r="AN349" t="s">
        <v>20</v>
      </c>
      <c r="AO349" s="3">
        <v>5400</v>
      </c>
      <c r="AP349" t="s">
        <v>592</v>
      </c>
      <c r="AR349" t="s">
        <v>521</v>
      </c>
      <c r="AT349" t="s">
        <v>710</v>
      </c>
    </row>
    <row r="350" spans="1:47" x14ac:dyDescent="0.25">
      <c r="A350" s="1">
        <v>2737383</v>
      </c>
      <c r="B350" t="s">
        <v>405</v>
      </c>
      <c r="C350">
        <v>540</v>
      </c>
      <c r="D350" t="s">
        <v>1</v>
      </c>
      <c r="E350" s="2">
        <v>46274</v>
      </c>
      <c r="F350" s="2">
        <v>46274</v>
      </c>
      <c r="G350" s="3">
        <v>2</v>
      </c>
      <c r="H350" t="s">
        <v>20</v>
      </c>
      <c r="I350" s="3">
        <v>0</v>
      </c>
      <c r="J350" t="s">
        <v>211</v>
      </c>
      <c r="K350" t="s">
        <v>4</v>
      </c>
      <c r="L350" t="s">
        <v>37</v>
      </c>
      <c r="M350" t="s">
        <v>6</v>
      </c>
      <c r="N350" t="s">
        <v>7</v>
      </c>
      <c r="O350" t="s">
        <v>65</v>
      </c>
      <c r="Q350" t="b">
        <f t="shared" si="75"/>
        <v>1</v>
      </c>
      <c r="R350" t="b">
        <f t="shared" si="76"/>
        <v>1</v>
      </c>
      <c r="S350" t="b">
        <f t="shared" si="77"/>
        <v>1</v>
      </c>
      <c r="T350" t="b">
        <f t="shared" si="78"/>
        <v>1</v>
      </c>
      <c r="U350" t="b">
        <f t="shared" si="79"/>
        <v>1</v>
      </c>
      <c r="V350" t="b">
        <f t="shared" si="80"/>
        <v>1</v>
      </c>
      <c r="W350" t="b">
        <f t="shared" si="81"/>
        <v>1</v>
      </c>
      <c r="X350" t="b">
        <f t="shared" si="82"/>
        <v>1</v>
      </c>
      <c r="Y350" t="b">
        <f t="shared" si="83"/>
        <v>1</v>
      </c>
      <c r="Z350" t="b">
        <f t="shared" si="84"/>
        <v>1</v>
      </c>
      <c r="AA350" t="b">
        <f t="shared" si="85"/>
        <v>1</v>
      </c>
      <c r="AB350" t="b">
        <f t="shared" si="86"/>
        <v>1</v>
      </c>
      <c r="AC350" t="b">
        <f t="shared" si="87"/>
        <v>1</v>
      </c>
      <c r="AD350" t="b">
        <f t="shared" si="88"/>
        <v>1</v>
      </c>
      <c r="AE350" t="b">
        <f t="shared" si="89"/>
        <v>1</v>
      </c>
      <c r="AG350" s="1">
        <v>2737383</v>
      </c>
      <c r="AH350" t="s">
        <v>875</v>
      </c>
      <c r="AI350">
        <v>540</v>
      </c>
      <c r="AJ350" t="s">
        <v>503</v>
      </c>
      <c r="AK350" s="2">
        <v>46274</v>
      </c>
      <c r="AL350" s="2">
        <v>46274</v>
      </c>
      <c r="AM350" s="3">
        <v>2</v>
      </c>
      <c r="AN350" t="s">
        <v>20</v>
      </c>
      <c r="AO350" s="3">
        <v>0</v>
      </c>
      <c r="AP350" t="s">
        <v>692</v>
      </c>
      <c r="AR350" t="s">
        <v>528</v>
      </c>
      <c r="AU350" t="s">
        <v>553</v>
      </c>
    </row>
    <row r="351" spans="1:47" x14ac:dyDescent="0.25">
      <c r="A351" s="1">
        <v>2739301</v>
      </c>
      <c r="B351" t="s">
        <v>471</v>
      </c>
      <c r="C351">
        <v>540</v>
      </c>
      <c r="D351" t="s">
        <v>1</v>
      </c>
      <c r="E351" s="2">
        <v>46220</v>
      </c>
      <c r="F351" s="2">
        <v>46274</v>
      </c>
      <c r="G351" s="3">
        <v>7</v>
      </c>
      <c r="H351" t="s">
        <v>11</v>
      </c>
      <c r="I351" s="3">
        <v>15400</v>
      </c>
      <c r="J351" t="s">
        <v>472</v>
      </c>
      <c r="K351" t="s">
        <v>4</v>
      </c>
      <c r="L351" t="s">
        <v>40</v>
      </c>
      <c r="M351" t="s">
        <v>6</v>
      </c>
      <c r="N351" t="s">
        <v>7</v>
      </c>
      <c r="O351" t="s">
        <v>7</v>
      </c>
      <c r="Q351" t="b">
        <f t="shared" si="75"/>
        <v>1</v>
      </c>
      <c r="R351" t="b">
        <f t="shared" si="76"/>
        <v>1</v>
      </c>
      <c r="S351" t="b">
        <f t="shared" si="77"/>
        <v>1</v>
      </c>
      <c r="T351" t="b">
        <f t="shared" si="78"/>
        <v>1</v>
      </c>
      <c r="U351" t="b">
        <f t="shared" si="79"/>
        <v>1</v>
      </c>
      <c r="V351" t="b">
        <f t="shared" si="80"/>
        <v>1</v>
      </c>
      <c r="W351" t="b">
        <f t="shared" si="81"/>
        <v>1</v>
      </c>
      <c r="X351" t="b">
        <f t="shared" si="82"/>
        <v>1</v>
      </c>
      <c r="Y351" t="b">
        <f t="shared" si="83"/>
        <v>1</v>
      </c>
      <c r="Z351" t="b">
        <f t="shared" si="84"/>
        <v>1</v>
      </c>
      <c r="AA351" t="b">
        <f t="shared" si="85"/>
        <v>1</v>
      </c>
      <c r="AB351" t="b">
        <f t="shared" si="86"/>
        <v>1</v>
      </c>
      <c r="AC351" t="b">
        <f t="shared" si="87"/>
        <v>1</v>
      </c>
      <c r="AD351" t="b">
        <f t="shared" si="88"/>
        <v>1</v>
      </c>
      <c r="AE351" t="b">
        <f t="shared" si="89"/>
        <v>1</v>
      </c>
      <c r="AG351" s="1">
        <v>2739301</v>
      </c>
      <c r="AH351" t="s">
        <v>471</v>
      </c>
      <c r="AI351">
        <v>540</v>
      </c>
      <c r="AJ351" t="s">
        <v>503</v>
      </c>
      <c r="AK351" s="2">
        <v>46220</v>
      </c>
      <c r="AL351" s="2">
        <v>46274</v>
      </c>
      <c r="AM351" s="3">
        <v>7</v>
      </c>
      <c r="AN351" t="s">
        <v>11</v>
      </c>
      <c r="AO351" s="3">
        <v>15400</v>
      </c>
      <c r="AP351" t="s">
        <v>937</v>
      </c>
      <c r="AR351" t="s">
        <v>531</v>
      </c>
    </row>
    <row r="352" spans="1:47" x14ac:dyDescent="0.25">
      <c r="A352" s="1">
        <v>2569176</v>
      </c>
      <c r="B352" t="s">
        <v>19</v>
      </c>
      <c r="C352">
        <v>540</v>
      </c>
      <c r="D352" t="s">
        <v>1</v>
      </c>
      <c r="E352" s="2">
        <v>46275</v>
      </c>
      <c r="F352" s="2">
        <v>46275</v>
      </c>
      <c r="G352" s="3">
        <v>80</v>
      </c>
      <c r="H352" t="s">
        <v>20</v>
      </c>
      <c r="I352" s="3">
        <v>36000</v>
      </c>
      <c r="J352" t="s">
        <v>21</v>
      </c>
      <c r="K352" t="s">
        <v>4</v>
      </c>
      <c r="L352" t="s">
        <v>22</v>
      </c>
      <c r="M352" t="s">
        <v>6</v>
      </c>
      <c r="N352" t="s">
        <v>7</v>
      </c>
      <c r="O352" t="s">
        <v>7</v>
      </c>
      <c r="Q352" t="b">
        <f t="shared" si="75"/>
        <v>1</v>
      </c>
      <c r="R352" t="b">
        <f t="shared" si="76"/>
        <v>1</v>
      </c>
      <c r="S352" t="b">
        <f t="shared" si="77"/>
        <v>1</v>
      </c>
      <c r="T352" t="b">
        <f t="shared" si="78"/>
        <v>1</v>
      </c>
      <c r="U352" t="b">
        <f t="shared" si="79"/>
        <v>1</v>
      </c>
      <c r="V352" t="b">
        <f t="shared" si="80"/>
        <v>1</v>
      </c>
      <c r="W352" t="b">
        <f t="shared" si="81"/>
        <v>1</v>
      </c>
      <c r="X352" t="b">
        <f t="shared" si="82"/>
        <v>1</v>
      </c>
      <c r="Y352" t="b">
        <f t="shared" si="83"/>
        <v>1</v>
      </c>
      <c r="Z352" t="b">
        <f t="shared" si="84"/>
        <v>1</v>
      </c>
      <c r="AA352" t="b">
        <f t="shared" si="85"/>
        <v>1</v>
      </c>
      <c r="AB352" t="b">
        <f t="shared" si="86"/>
        <v>1</v>
      </c>
      <c r="AC352" t="b">
        <f t="shared" si="87"/>
        <v>1</v>
      </c>
      <c r="AD352" t="b">
        <f t="shared" si="88"/>
        <v>1</v>
      </c>
      <c r="AE352" t="b">
        <f t="shared" si="89"/>
        <v>1</v>
      </c>
      <c r="AG352" s="1">
        <v>2569176</v>
      </c>
      <c r="AH352" t="s">
        <v>514</v>
      </c>
      <c r="AI352">
        <v>540</v>
      </c>
      <c r="AJ352" t="s">
        <v>503</v>
      </c>
      <c r="AK352" s="2">
        <v>46275</v>
      </c>
      <c r="AL352" s="2">
        <v>46275</v>
      </c>
      <c r="AM352" s="3">
        <v>80</v>
      </c>
      <c r="AN352" t="s">
        <v>20</v>
      </c>
      <c r="AO352" s="3">
        <v>36000</v>
      </c>
      <c r="AP352" t="s">
        <v>515</v>
      </c>
      <c r="AR352" t="s">
        <v>516</v>
      </c>
    </row>
    <row r="353" spans="1:47" x14ac:dyDescent="0.25">
      <c r="A353" s="1">
        <v>2697480</v>
      </c>
      <c r="B353" t="s">
        <v>24</v>
      </c>
      <c r="C353">
        <v>540</v>
      </c>
      <c r="D353" t="s">
        <v>1</v>
      </c>
      <c r="E353" s="2">
        <v>46275</v>
      </c>
      <c r="F353" s="2">
        <v>46275</v>
      </c>
      <c r="G353" s="3">
        <v>80</v>
      </c>
      <c r="H353" t="s">
        <v>20</v>
      </c>
      <c r="I353" s="3">
        <v>36000</v>
      </c>
      <c r="J353" t="s">
        <v>473</v>
      </c>
      <c r="K353" t="s">
        <v>4</v>
      </c>
      <c r="L353" t="s">
        <v>22</v>
      </c>
      <c r="M353" t="s">
        <v>6</v>
      </c>
      <c r="N353" t="s">
        <v>7</v>
      </c>
      <c r="O353" t="s">
        <v>7</v>
      </c>
      <c r="Q353" t="b">
        <f t="shared" si="75"/>
        <v>1</v>
      </c>
      <c r="R353" t="b">
        <f t="shared" si="76"/>
        <v>1</v>
      </c>
      <c r="S353" t="b">
        <f t="shared" si="77"/>
        <v>1</v>
      </c>
      <c r="T353" t="b">
        <f t="shared" si="78"/>
        <v>1</v>
      </c>
      <c r="U353" t="b">
        <f t="shared" si="79"/>
        <v>1</v>
      </c>
      <c r="V353" t="b">
        <f t="shared" si="80"/>
        <v>1</v>
      </c>
      <c r="W353" t="b">
        <f t="shared" si="81"/>
        <v>1</v>
      </c>
      <c r="X353" t="b">
        <f t="shared" si="82"/>
        <v>1</v>
      </c>
      <c r="Y353" t="b">
        <f t="shared" si="83"/>
        <v>1</v>
      </c>
      <c r="Z353" t="b">
        <f t="shared" si="84"/>
        <v>1</v>
      </c>
      <c r="AA353" t="b">
        <f t="shared" si="85"/>
        <v>1</v>
      </c>
      <c r="AB353" t="b">
        <f t="shared" si="86"/>
        <v>1</v>
      </c>
      <c r="AC353" t="b">
        <f t="shared" si="87"/>
        <v>1</v>
      </c>
      <c r="AD353" t="b">
        <f t="shared" si="88"/>
        <v>1</v>
      </c>
      <c r="AE353" t="b">
        <f t="shared" si="89"/>
        <v>1</v>
      </c>
      <c r="AG353" s="1">
        <v>2697480</v>
      </c>
      <c r="AH353" t="s">
        <v>517</v>
      </c>
      <c r="AI353">
        <v>540</v>
      </c>
      <c r="AJ353" t="s">
        <v>503</v>
      </c>
      <c r="AK353" s="2">
        <v>46275</v>
      </c>
      <c r="AL353" s="2">
        <v>46275</v>
      </c>
      <c r="AM353" s="3">
        <v>80</v>
      </c>
      <c r="AN353" t="s">
        <v>20</v>
      </c>
      <c r="AO353" s="3">
        <v>36000</v>
      </c>
      <c r="AP353" t="s">
        <v>938</v>
      </c>
      <c r="AR353" t="s">
        <v>516</v>
      </c>
    </row>
    <row r="354" spans="1:47" x14ac:dyDescent="0.25">
      <c r="A354" s="1">
        <v>2697481</v>
      </c>
      <c r="B354" t="s">
        <v>24</v>
      </c>
      <c r="C354">
        <v>540</v>
      </c>
      <c r="D354" t="s">
        <v>1</v>
      </c>
      <c r="E354" s="2">
        <v>46276</v>
      </c>
      <c r="F354" s="2">
        <v>46276</v>
      </c>
      <c r="G354" s="3">
        <v>20</v>
      </c>
      <c r="H354" t="s">
        <v>20</v>
      </c>
      <c r="I354" s="3">
        <v>9000</v>
      </c>
      <c r="J354" t="s">
        <v>474</v>
      </c>
      <c r="K354" t="s">
        <v>4</v>
      </c>
      <c r="L354" t="s">
        <v>475</v>
      </c>
      <c r="M354" t="s">
        <v>6</v>
      </c>
      <c r="N354" t="s">
        <v>7</v>
      </c>
      <c r="O354" t="s">
        <v>7</v>
      </c>
      <c r="Q354" t="b">
        <f t="shared" si="75"/>
        <v>1</v>
      </c>
      <c r="R354" t="b">
        <f t="shared" si="76"/>
        <v>1</v>
      </c>
      <c r="S354" t="b">
        <f t="shared" si="77"/>
        <v>1</v>
      </c>
      <c r="T354" t="b">
        <f t="shared" si="78"/>
        <v>1</v>
      </c>
      <c r="U354" t="b">
        <f t="shared" si="79"/>
        <v>1</v>
      </c>
      <c r="V354" t="b">
        <f t="shared" si="80"/>
        <v>1</v>
      </c>
      <c r="W354" t="b">
        <f t="shared" si="81"/>
        <v>1</v>
      </c>
      <c r="X354" t="b">
        <f t="shared" si="82"/>
        <v>1</v>
      </c>
      <c r="Y354" t="b">
        <f t="shared" si="83"/>
        <v>1</v>
      </c>
      <c r="Z354" t="b">
        <f t="shared" si="84"/>
        <v>1</v>
      </c>
      <c r="AA354" t="b">
        <f t="shared" si="85"/>
        <v>1</v>
      </c>
      <c r="AB354" t="b">
        <f t="shared" si="86"/>
        <v>1</v>
      </c>
      <c r="AC354" t="b">
        <f t="shared" si="87"/>
        <v>1</v>
      </c>
      <c r="AD354" t="b">
        <f t="shared" si="88"/>
        <v>1</v>
      </c>
      <c r="AE354" t="b">
        <f t="shared" si="89"/>
        <v>1</v>
      </c>
      <c r="AG354" s="1">
        <v>2697481</v>
      </c>
      <c r="AH354" t="s">
        <v>517</v>
      </c>
      <c r="AI354">
        <v>540</v>
      </c>
      <c r="AJ354" t="s">
        <v>503</v>
      </c>
      <c r="AK354" s="2">
        <v>46276</v>
      </c>
      <c r="AL354" s="2">
        <v>46276</v>
      </c>
      <c r="AM354" s="3">
        <v>20</v>
      </c>
      <c r="AN354" t="s">
        <v>20</v>
      </c>
      <c r="AO354" s="3">
        <v>9000</v>
      </c>
      <c r="AP354" t="s">
        <v>939</v>
      </c>
      <c r="AR354" t="s">
        <v>940</v>
      </c>
    </row>
    <row r="355" spans="1:47" x14ac:dyDescent="0.25">
      <c r="A355" s="1">
        <v>2695178</v>
      </c>
      <c r="B355" t="s">
        <v>163</v>
      </c>
      <c r="C355">
        <v>540</v>
      </c>
      <c r="D355" t="s">
        <v>1</v>
      </c>
      <c r="E355" s="2">
        <v>46279</v>
      </c>
      <c r="F355" s="2">
        <v>46279</v>
      </c>
      <c r="G355" s="3">
        <v>80</v>
      </c>
      <c r="H355" t="s">
        <v>20</v>
      </c>
      <c r="I355" s="3">
        <v>36000</v>
      </c>
      <c r="J355" t="s">
        <v>337</v>
      </c>
      <c r="K355" t="s">
        <v>130</v>
      </c>
      <c r="L355" t="s">
        <v>108</v>
      </c>
      <c r="M355" t="s">
        <v>6</v>
      </c>
      <c r="N355" t="s">
        <v>165</v>
      </c>
      <c r="O355" t="s">
        <v>7</v>
      </c>
      <c r="Q355" t="b">
        <f t="shared" si="75"/>
        <v>1</v>
      </c>
      <c r="R355" t="b">
        <f t="shared" si="76"/>
        <v>1</v>
      </c>
      <c r="S355" t="b">
        <f t="shared" si="77"/>
        <v>1</v>
      </c>
      <c r="T355" t="b">
        <f t="shared" si="78"/>
        <v>1</v>
      </c>
      <c r="U355" t="b">
        <f t="shared" si="79"/>
        <v>1</v>
      </c>
      <c r="V355" t="b">
        <f t="shared" si="80"/>
        <v>1</v>
      </c>
      <c r="W355" t="b">
        <f t="shared" si="81"/>
        <v>1</v>
      </c>
      <c r="X355" t="b">
        <f t="shared" si="82"/>
        <v>1</v>
      </c>
      <c r="Y355" t="b">
        <f t="shared" si="83"/>
        <v>1</v>
      </c>
      <c r="Z355" t="b">
        <f t="shared" si="84"/>
        <v>1</v>
      </c>
      <c r="AA355" t="b">
        <f t="shared" si="85"/>
        <v>1</v>
      </c>
      <c r="AB355" t="b">
        <f t="shared" si="86"/>
        <v>1</v>
      </c>
      <c r="AC355" t="b">
        <f t="shared" si="87"/>
        <v>1</v>
      </c>
      <c r="AD355" t="b">
        <f t="shared" si="88"/>
        <v>1</v>
      </c>
      <c r="AE355" t="b">
        <f t="shared" si="89"/>
        <v>1</v>
      </c>
      <c r="AG355" s="1">
        <v>2695178</v>
      </c>
      <c r="AH355" t="s">
        <v>646</v>
      </c>
      <c r="AI355">
        <v>540</v>
      </c>
      <c r="AJ355" t="s">
        <v>503</v>
      </c>
      <c r="AK355" s="2">
        <v>46279</v>
      </c>
      <c r="AL355" s="2">
        <v>46279</v>
      </c>
      <c r="AM355" s="3">
        <v>80</v>
      </c>
      <c r="AN355" t="s">
        <v>20</v>
      </c>
      <c r="AO355" s="3">
        <v>36000</v>
      </c>
      <c r="AP355" t="s">
        <v>808</v>
      </c>
      <c r="AQ355" t="s">
        <v>130</v>
      </c>
      <c r="AR355" t="s">
        <v>595</v>
      </c>
      <c r="AT355" t="s">
        <v>648</v>
      </c>
    </row>
    <row r="356" spans="1:47" x14ac:dyDescent="0.25">
      <c r="A356" s="1">
        <v>2696752</v>
      </c>
      <c r="B356" t="s">
        <v>210</v>
      </c>
      <c r="C356">
        <v>540</v>
      </c>
      <c r="D356" t="s">
        <v>1</v>
      </c>
      <c r="E356" s="2">
        <v>46279</v>
      </c>
      <c r="F356" s="2">
        <v>46279</v>
      </c>
      <c r="G356" s="3">
        <v>16</v>
      </c>
      <c r="H356" t="s">
        <v>20</v>
      </c>
      <c r="I356" s="3">
        <v>0</v>
      </c>
      <c r="J356" t="s">
        <v>476</v>
      </c>
      <c r="K356" t="s">
        <v>4</v>
      </c>
      <c r="L356" t="s">
        <v>108</v>
      </c>
      <c r="M356" t="s">
        <v>6</v>
      </c>
      <c r="N356" t="s">
        <v>7</v>
      </c>
      <c r="O356" t="s">
        <v>212</v>
      </c>
      <c r="Q356" t="b">
        <f t="shared" si="75"/>
        <v>1</v>
      </c>
      <c r="R356" t="b">
        <f t="shared" si="76"/>
        <v>1</v>
      </c>
      <c r="S356" t="b">
        <f t="shared" si="77"/>
        <v>1</v>
      </c>
      <c r="T356" t="b">
        <f t="shared" si="78"/>
        <v>1</v>
      </c>
      <c r="U356" t="b">
        <f t="shared" si="79"/>
        <v>1</v>
      </c>
      <c r="V356" t="b">
        <f t="shared" si="80"/>
        <v>1</v>
      </c>
      <c r="W356" t="b">
        <f t="shared" si="81"/>
        <v>1</v>
      </c>
      <c r="X356" t="b">
        <f t="shared" si="82"/>
        <v>1</v>
      </c>
      <c r="Y356" t="b">
        <f t="shared" si="83"/>
        <v>1</v>
      </c>
      <c r="Z356" t="b">
        <f t="shared" si="84"/>
        <v>1</v>
      </c>
      <c r="AA356" t="b">
        <f t="shared" si="85"/>
        <v>1</v>
      </c>
      <c r="AB356" t="b">
        <f t="shared" si="86"/>
        <v>1</v>
      </c>
      <c r="AC356" t="b">
        <f t="shared" si="87"/>
        <v>1</v>
      </c>
      <c r="AD356" t="b">
        <f t="shared" si="88"/>
        <v>1</v>
      </c>
      <c r="AE356" t="b">
        <f t="shared" si="89"/>
        <v>1</v>
      </c>
      <c r="AG356" s="1">
        <v>2696752</v>
      </c>
      <c r="AH356" t="s">
        <v>691</v>
      </c>
      <c r="AI356">
        <v>540</v>
      </c>
      <c r="AJ356" t="s">
        <v>503</v>
      </c>
      <c r="AK356" s="2">
        <v>46279</v>
      </c>
      <c r="AL356" s="2">
        <v>46279</v>
      </c>
      <c r="AM356" s="3">
        <v>16</v>
      </c>
      <c r="AN356" t="s">
        <v>20</v>
      </c>
      <c r="AO356" s="3">
        <v>0</v>
      </c>
      <c r="AP356" t="s">
        <v>941</v>
      </c>
      <c r="AR356" t="s">
        <v>595</v>
      </c>
      <c r="AU356" t="s">
        <v>693</v>
      </c>
    </row>
    <row r="357" spans="1:47" x14ac:dyDescent="0.25">
      <c r="A357" s="1">
        <v>2729832</v>
      </c>
      <c r="B357" t="s">
        <v>477</v>
      </c>
      <c r="C357">
        <v>540</v>
      </c>
      <c r="D357" t="s">
        <v>1</v>
      </c>
      <c r="E357" s="2">
        <v>46279</v>
      </c>
      <c r="F357" s="2">
        <v>46279</v>
      </c>
      <c r="G357" s="3">
        <v>58</v>
      </c>
      <c r="H357" t="s">
        <v>20</v>
      </c>
      <c r="I357" s="3">
        <v>0</v>
      </c>
      <c r="J357" t="s">
        <v>478</v>
      </c>
      <c r="K357" t="s">
        <v>4</v>
      </c>
      <c r="L357" t="s">
        <v>22</v>
      </c>
      <c r="M357" t="s">
        <v>6</v>
      </c>
      <c r="N357" t="s">
        <v>7</v>
      </c>
      <c r="O357" t="s">
        <v>479</v>
      </c>
      <c r="Q357" t="b">
        <f t="shared" si="75"/>
        <v>1</v>
      </c>
      <c r="R357" t="b">
        <f t="shared" si="76"/>
        <v>1</v>
      </c>
      <c r="S357" t="b">
        <f t="shared" si="77"/>
        <v>1</v>
      </c>
      <c r="T357" t="b">
        <f t="shared" si="78"/>
        <v>1</v>
      </c>
      <c r="U357" t="b">
        <f t="shared" si="79"/>
        <v>1</v>
      </c>
      <c r="V357" t="b">
        <f t="shared" si="80"/>
        <v>1</v>
      </c>
      <c r="W357" t="b">
        <f t="shared" si="81"/>
        <v>1</v>
      </c>
      <c r="X357" t="b">
        <f t="shared" si="82"/>
        <v>1</v>
      </c>
      <c r="Y357" t="b">
        <f t="shared" si="83"/>
        <v>1</v>
      </c>
      <c r="Z357" t="b">
        <f t="shared" si="84"/>
        <v>1</v>
      </c>
      <c r="AA357" t="b">
        <f t="shared" si="85"/>
        <v>1</v>
      </c>
      <c r="AB357" t="b">
        <f t="shared" si="86"/>
        <v>1</v>
      </c>
      <c r="AC357" t="b">
        <f t="shared" si="87"/>
        <v>1</v>
      </c>
      <c r="AD357" t="b">
        <f t="shared" si="88"/>
        <v>1</v>
      </c>
      <c r="AE357" t="b">
        <f t="shared" si="89"/>
        <v>1</v>
      </c>
      <c r="AG357" s="1">
        <v>2729832</v>
      </c>
      <c r="AH357" t="s">
        <v>942</v>
      </c>
      <c r="AI357">
        <v>540</v>
      </c>
      <c r="AJ357" t="s">
        <v>503</v>
      </c>
      <c r="AK357" s="2">
        <v>46279</v>
      </c>
      <c r="AL357" s="2">
        <v>46279</v>
      </c>
      <c r="AM357" s="3">
        <v>58</v>
      </c>
      <c r="AN357" t="s">
        <v>20</v>
      </c>
      <c r="AO357" s="3">
        <v>0</v>
      </c>
      <c r="AP357" t="s">
        <v>943</v>
      </c>
      <c r="AR357" t="s">
        <v>516</v>
      </c>
      <c r="AU357" t="s">
        <v>944</v>
      </c>
    </row>
    <row r="358" spans="1:47" x14ac:dyDescent="0.25">
      <c r="A358" s="1">
        <v>2723203</v>
      </c>
      <c r="B358" t="s">
        <v>420</v>
      </c>
      <c r="C358">
        <v>540</v>
      </c>
      <c r="D358" t="s">
        <v>1</v>
      </c>
      <c r="E358" s="2">
        <v>46280</v>
      </c>
      <c r="F358" s="2">
        <v>46280</v>
      </c>
      <c r="G358" s="3">
        <v>1</v>
      </c>
      <c r="H358" t="s">
        <v>20</v>
      </c>
      <c r="I358" s="3">
        <v>0</v>
      </c>
      <c r="J358" t="s">
        <v>421</v>
      </c>
      <c r="K358" t="s">
        <v>4</v>
      </c>
      <c r="L358" t="s">
        <v>108</v>
      </c>
      <c r="M358" t="s">
        <v>6</v>
      </c>
      <c r="N358" t="s">
        <v>7</v>
      </c>
      <c r="O358" t="s">
        <v>109</v>
      </c>
      <c r="Q358" t="b">
        <f t="shared" si="75"/>
        <v>1</v>
      </c>
      <c r="R358" t="b">
        <f t="shared" si="76"/>
        <v>1</v>
      </c>
      <c r="S358" t="b">
        <f t="shared" si="77"/>
        <v>1</v>
      </c>
      <c r="T358" t="b">
        <f t="shared" si="78"/>
        <v>1</v>
      </c>
      <c r="U358" t="b">
        <f t="shared" si="79"/>
        <v>1</v>
      </c>
      <c r="V358" t="b">
        <f t="shared" si="80"/>
        <v>1</v>
      </c>
      <c r="W358" t="b">
        <f t="shared" si="81"/>
        <v>1</v>
      </c>
      <c r="X358" t="b">
        <f t="shared" si="82"/>
        <v>1</v>
      </c>
      <c r="Y358" t="b">
        <f t="shared" si="83"/>
        <v>1</v>
      </c>
      <c r="Z358" t="b">
        <f t="shared" si="84"/>
        <v>1</v>
      </c>
      <c r="AA358" t="b">
        <f t="shared" si="85"/>
        <v>1</v>
      </c>
      <c r="AB358" t="b">
        <f t="shared" si="86"/>
        <v>1</v>
      </c>
      <c r="AC358" t="b">
        <f t="shared" si="87"/>
        <v>1</v>
      </c>
      <c r="AD358" t="b">
        <f t="shared" si="88"/>
        <v>1</v>
      </c>
      <c r="AE358" t="b">
        <f t="shared" si="89"/>
        <v>1</v>
      </c>
      <c r="AG358" s="1">
        <v>2723203</v>
      </c>
      <c r="AH358" t="s">
        <v>890</v>
      </c>
      <c r="AI358">
        <v>540</v>
      </c>
      <c r="AJ358" t="s">
        <v>503</v>
      </c>
      <c r="AK358" s="2">
        <v>46280</v>
      </c>
      <c r="AL358" s="2">
        <v>46280</v>
      </c>
      <c r="AM358" s="3">
        <v>1</v>
      </c>
      <c r="AN358" t="s">
        <v>20</v>
      </c>
      <c r="AO358" s="3">
        <v>0</v>
      </c>
      <c r="AP358" t="s">
        <v>891</v>
      </c>
      <c r="AR358" t="s">
        <v>595</v>
      </c>
      <c r="AU358" t="s">
        <v>596</v>
      </c>
    </row>
    <row r="359" spans="1:47" x14ac:dyDescent="0.25">
      <c r="A359" s="1">
        <v>2742811</v>
      </c>
      <c r="B359" t="s">
        <v>210</v>
      </c>
      <c r="C359">
        <v>540</v>
      </c>
      <c r="D359" t="s">
        <v>1</v>
      </c>
      <c r="E359" s="2">
        <v>46280</v>
      </c>
      <c r="F359" s="2">
        <v>46280</v>
      </c>
      <c r="G359" s="3">
        <v>8</v>
      </c>
      <c r="H359" t="s">
        <v>20</v>
      </c>
      <c r="I359" s="3">
        <v>0</v>
      </c>
      <c r="J359" t="s">
        <v>211</v>
      </c>
      <c r="K359" t="s">
        <v>4</v>
      </c>
      <c r="L359" t="s">
        <v>108</v>
      </c>
      <c r="M359" t="s">
        <v>6</v>
      </c>
      <c r="N359" t="s">
        <v>7</v>
      </c>
      <c r="O359" t="s">
        <v>212</v>
      </c>
      <c r="Q359" t="b">
        <f t="shared" si="75"/>
        <v>1</v>
      </c>
      <c r="R359" t="b">
        <f t="shared" si="76"/>
        <v>1</v>
      </c>
      <c r="S359" t="b">
        <f t="shared" si="77"/>
        <v>1</v>
      </c>
      <c r="T359" t="b">
        <f t="shared" si="78"/>
        <v>1</v>
      </c>
      <c r="U359" t="b">
        <f t="shared" si="79"/>
        <v>1</v>
      </c>
      <c r="V359" t="b">
        <f t="shared" si="80"/>
        <v>1</v>
      </c>
      <c r="W359" t="b">
        <f t="shared" si="81"/>
        <v>1</v>
      </c>
      <c r="X359" t="b">
        <f t="shared" si="82"/>
        <v>1</v>
      </c>
      <c r="Y359" t="b">
        <f t="shared" si="83"/>
        <v>1</v>
      </c>
      <c r="Z359" t="b">
        <f t="shared" si="84"/>
        <v>1</v>
      </c>
      <c r="AA359" t="b">
        <f t="shared" si="85"/>
        <v>1</v>
      </c>
      <c r="AB359" t="b">
        <f t="shared" si="86"/>
        <v>1</v>
      </c>
      <c r="AC359" t="b">
        <f t="shared" si="87"/>
        <v>1</v>
      </c>
      <c r="AD359" t="b">
        <f t="shared" si="88"/>
        <v>1</v>
      </c>
      <c r="AE359" t="b">
        <f t="shared" si="89"/>
        <v>1</v>
      </c>
      <c r="AG359" s="1">
        <v>2742811</v>
      </c>
      <c r="AH359" t="s">
        <v>691</v>
      </c>
      <c r="AI359">
        <v>540</v>
      </c>
      <c r="AJ359" t="s">
        <v>503</v>
      </c>
      <c r="AK359" s="2">
        <v>46280</v>
      </c>
      <c r="AL359" s="2">
        <v>46280</v>
      </c>
      <c r="AM359" s="3">
        <v>8</v>
      </c>
      <c r="AN359" t="s">
        <v>20</v>
      </c>
      <c r="AO359" s="3">
        <v>0</v>
      </c>
      <c r="AP359" t="s">
        <v>692</v>
      </c>
      <c r="AR359" t="s">
        <v>595</v>
      </c>
      <c r="AU359" t="s">
        <v>693</v>
      </c>
    </row>
    <row r="360" spans="1:47" x14ac:dyDescent="0.25">
      <c r="A360" s="1">
        <v>2663082</v>
      </c>
      <c r="B360" t="s">
        <v>453</v>
      </c>
      <c r="C360">
        <v>540</v>
      </c>
      <c r="D360" t="s">
        <v>1</v>
      </c>
      <c r="E360" s="2">
        <v>46281</v>
      </c>
      <c r="F360" s="2">
        <v>46281</v>
      </c>
      <c r="G360" s="3">
        <v>52</v>
      </c>
      <c r="H360" t="s">
        <v>454</v>
      </c>
      <c r="I360" s="3">
        <v>35932</v>
      </c>
      <c r="J360" t="s">
        <v>455</v>
      </c>
      <c r="K360" t="s">
        <v>4</v>
      </c>
      <c r="L360" t="s">
        <v>22</v>
      </c>
      <c r="M360" t="s">
        <v>6</v>
      </c>
      <c r="N360" t="s">
        <v>7</v>
      </c>
      <c r="O360" t="s">
        <v>7</v>
      </c>
      <c r="Q360" t="b">
        <f t="shared" si="75"/>
        <v>1</v>
      </c>
      <c r="R360" t="b">
        <f t="shared" si="76"/>
        <v>1</v>
      </c>
      <c r="S360" t="b">
        <f t="shared" si="77"/>
        <v>1</v>
      </c>
      <c r="T360" t="b">
        <f t="shared" si="78"/>
        <v>1</v>
      </c>
      <c r="U360" t="b">
        <f t="shared" si="79"/>
        <v>1</v>
      </c>
      <c r="V360" t="b">
        <f t="shared" si="80"/>
        <v>1</v>
      </c>
      <c r="W360" t="b">
        <f t="shared" si="81"/>
        <v>1</v>
      </c>
      <c r="X360" t="b">
        <f t="shared" si="82"/>
        <v>1</v>
      </c>
      <c r="Y360" t="b">
        <f t="shared" si="83"/>
        <v>1</v>
      </c>
      <c r="Z360" t="b">
        <f t="shared" si="84"/>
        <v>1</v>
      </c>
      <c r="AA360" t="b">
        <f t="shared" si="85"/>
        <v>1</v>
      </c>
      <c r="AB360" t="b">
        <f t="shared" si="86"/>
        <v>1</v>
      </c>
      <c r="AC360" t="b">
        <f t="shared" si="87"/>
        <v>1</v>
      </c>
      <c r="AD360" t="b">
        <f t="shared" si="88"/>
        <v>1</v>
      </c>
      <c r="AE360" t="b">
        <f t="shared" si="89"/>
        <v>1</v>
      </c>
      <c r="AG360" s="1">
        <v>2663082</v>
      </c>
      <c r="AH360" t="s">
        <v>922</v>
      </c>
      <c r="AI360">
        <v>540</v>
      </c>
      <c r="AJ360" t="s">
        <v>503</v>
      </c>
      <c r="AK360" s="2">
        <v>46281</v>
      </c>
      <c r="AL360" s="2">
        <v>46281</v>
      </c>
      <c r="AM360" s="3">
        <v>52</v>
      </c>
      <c r="AN360" t="s">
        <v>454</v>
      </c>
      <c r="AO360" s="3">
        <v>35932</v>
      </c>
      <c r="AP360" t="s">
        <v>923</v>
      </c>
      <c r="AR360" t="s">
        <v>516</v>
      </c>
    </row>
    <row r="361" spans="1:47" x14ac:dyDescent="0.25">
      <c r="A361" s="1">
        <v>2743404</v>
      </c>
      <c r="B361" t="s">
        <v>480</v>
      </c>
      <c r="C361">
        <v>525</v>
      </c>
      <c r="D361" t="s">
        <v>1</v>
      </c>
      <c r="E361" s="2">
        <v>46281</v>
      </c>
      <c r="F361" s="2">
        <v>46281</v>
      </c>
      <c r="G361" s="3">
        <v>1</v>
      </c>
      <c r="H361" t="s">
        <v>2</v>
      </c>
      <c r="I361" s="3">
        <v>0</v>
      </c>
      <c r="J361" t="s">
        <v>481</v>
      </c>
      <c r="K361" t="s">
        <v>290</v>
      </c>
      <c r="L361" t="s">
        <v>108</v>
      </c>
      <c r="M361" t="s">
        <v>6</v>
      </c>
      <c r="N361" t="s">
        <v>7</v>
      </c>
      <c r="O361" t="s">
        <v>109</v>
      </c>
      <c r="Q361" t="b">
        <f t="shared" si="75"/>
        <v>1</v>
      </c>
      <c r="R361" t="b">
        <f t="shared" si="76"/>
        <v>1</v>
      </c>
      <c r="S361" t="b">
        <f t="shared" si="77"/>
        <v>1</v>
      </c>
      <c r="T361" t="b">
        <f t="shared" si="78"/>
        <v>1</v>
      </c>
      <c r="U361" t="b">
        <f t="shared" si="79"/>
        <v>1</v>
      </c>
      <c r="V361" t="b">
        <f t="shared" si="80"/>
        <v>1</v>
      </c>
      <c r="W361" t="b">
        <f t="shared" si="81"/>
        <v>1</v>
      </c>
      <c r="X361" t="b">
        <f t="shared" si="82"/>
        <v>1</v>
      </c>
      <c r="Y361" t="b">
        <f t="shared" si="83"/>
        <v>1</v>
      </c>
      <c r="Z361" t="b">
        <f t="shared" si="84"/>
        <v>1</v>
      </c>
      <c r="AA361" t="b">
        <f t="shared" si="85"/>
        <v>1</v>
      </c>
      <c r="AB361" t="b">
        <f t="shared" si="86"/>
        <v>1</v>
      </c>
      <c r="AC361" t="b">
        <f t="shared" si="87"/>
        <v>1</v>
      </c>
      <c r="AD361" t="b">
        <f t="shared" si="88"/>
        <v>1</v>
      </c>
      <c r="AE361" t="b">
        <f t="shared" si="89"/>
        <v>1</v>
      </c>
      <c r="AG361" s="1">
        <v>2743404</v>
      </c>
      <c r="AH361" t="s">
        <v>945</v>
      </c>
      <c r="AI361">
        <v>525</v>
      </c>
      <c r="AJ361" t="s">
        <v>503</v>
      </c>
      <c r="AK361" s="2">
        <v>46281</v>
      </c>
      <c r="AL361" s="2">
        <v>46281</v>
      </c>
      <c r="AM361" s="3">
        <v>1</v>
      </c>
      <c r="AN361" t="s">
        <v>2</v>
      </c>
      <c r="AO361" s="3">
        <v>0</v>
      </c>
      <c r="AP361" t="s">
        <v>946</v>
      </c>
      <c r="AQ361" t="s">
        <v>290</v>
      </c>
      <c r="AR361" t="s">
        <v>595</v>
      </c>
      <c r="AU361" t="s">
        <v>596</v>
      </c>
    </row>
    <row r="362" spans="1:47" x14ac:dyDescent="0.25">
      <c r="A362" s="1">
        <v>2718769</v>
      </c>
      <c r="B362" t="s">
        <v>465</v>
      </c>
      <c r="C362">
        <v>540</v>
      </c>
      <c r="D362" t="s">
        <v>1</v>
      </c>
      <c r="E362" s="2">
        <v>46283</v>
      </c>
      <c r="F362" s="2">
        <v>46283</v>
      </c>
      <c r="G362" s="3">
        <v>18</v>
      </c>
      <c r="H362" t="s">
        <v>11</v>
      </c>
      <c r="I362" s="3">
        <v>39600</v>
      </c>
      <c r="J362" t="s">
        <v>167</v>
      </c>
      <c r="K362" t="s">
        <v>4</v>
      </c>
      <c r="L362" t="s">
        <v>22</v>
      </c>
      <c r="M362" t="s">
        <v>23</v>
      </c>
      <c r="N362" t="s">
        <v>7</v>
      </c>
      <c r="O362" t="s">
        <v>7</v>
      </c>
      <c r="Q362" t="b">
        <f t="shared" si="75"/>
        <v>1</v>
      </c>
      <c r="R362" t="b">
        <f t="shared" si="76"/>
        <v>1</v>
      </c>
      <c r="S362" t="b">
        <f t="shared" si="77"/>
        <v>1</v>
      </c>
      <c r="T362" t="b">
        <f t="shared" si="78"/>
        <v>1</v>
      </c>
      <c r="U362" t="b">
        <f t="shared" si="79"/>
        <v>1</v>
      </c>
      <c r="V362" t="b">
        <f t="shared" si="80"/>
        <v>1</v>
      </c>
      <c r="W362" t="b">
        <f t="shared" si="81"/>
        <v>1</v>
      </c>
      <c r="X362" t="b">
        <f t="shared" si="82"/>
        <v>1</v>
      </c>
      <c r="Y362" t="b">
        <f t="shared" si="83"/>
        <v>1</v>
      </c>
      <c r="Z362" t="b">
        <f t="shared" si="84"/>
        <v>1</v>
      </c>
      <c r="AA362" t="b">
        <f t="shared" si="85"/>
        <v>1</v>
      </c>
      <c r="AB362" t="b">
        <f t="shared" si="86"/>
        <v>1</v>
      </c>
      <c r="AC362" t="b">
        <f t="shared" si="87"/>
        <v>1</v>
      </c>
      <c r="AD362" t="b">
        <f t="shared" si="88"/>
        <v>1</v>
      </c>
      <c r="AE362" t="b">
        <f t="shared" si="89"/>
        <v>1</v>
      </c>
      <c r="AG362" s="1">
        <v>2718769</v>
      </c>
      <c r="AH362" t="s">
        <v>932</v>
      </c>
      <c r="AI362">
        <v>540</v>
      </c>
      <c r="AJ362" t="s">
        <v>503</v>
      </c>
      <c r="AK362" s="2">
        <v>46283</v>
      </c>
      <c r="AL362" s="2">
        <v>46283</v>
      </c>
      <c r="AM362" s="3">
        <v>18</v>
      </c>
      <c r="AN362" t="s">
        <v>11</v>
      </c>
      <c r="AO362" s="3">
        <v>39600</v>
      </c>
      <c r="AP362" t="s">
        <v>650</v>
      </c>
      <c r="AR362" t="s">
        <v>516</v>
      </c>
      <c r="AS362" t="s">
        <v>23</v>
      </c>
    </row>
    <row r="363" spans="1:47" x14ac:dyDescent="0.25">
      <c r="A363" s="1">
        <v>2701894</v>
      </c>
      <c r="B363" t="s">
        <v>426</v>
      </c>
      <c r="C363">
        <v>540</v>
      </c>
      <c r="D363" t="s">
        <v>1</v>
      </c>
      <c r="E363" s="2">
        <v>46286</v>
      </c>
      <c r="F363" s="2">
        <v>46286</v>
      </c>
      <c r="G363" s="3">
        <v>15</v>
      </c>
      <c r="H363" t="s">
        <v>11</v>
      </c>
      <c r="I363" s="3">
        <v>39000</v>
      </c>
      <c r="J363" t="s">
        <v>427</v>
      </c>
      <c r="K363" t="s">
        <v>4</v>
      </c>
      <c r="L363" t="s">
        <v>22</v>
      </c>
      <c r="M363" t="s">
        <v>6</v>
      </c>
      <c r="N363" t="s">
        <v>7</v>
      </c>
      <c r="O363" t="s">
        <v>7</v>
      </c>
      <c r="Q363" t="b">
        <f t="shared" si="75"/>
        <v>1</v>
      </c>
      <c r="R363" t="b">
        <f t="shared" si="76"/>
        <v>1</v>
      </c>
      <c r="S363" t="b">
        <f t="shared" si="77"/>
        <v>1</v>
      </c>
      <c r="T363" t="b">
        <f t="shared" si="78"/>
        <v>1</v>
      </c>
      <c r="U363" t="b">
        <f t="shared" si="79"/>
        <v>1</v>
      </c>
      <c r="V363" t="b">
        <f t="shared" si="80"/>
        <v>1</v>
      </c>
      <c r="W363" t="b">
        <f t="shared" si="81"/>
        <v>1</v>
      </c>
      <c r="X363" t="b">
        <f t="shared" si="82"/>
        <v>1</v>
      </c>
      <c r="Y363" t="b">
        <f t="shared" si="83"/>
        <v>1</v>
      </c>
      <c r="Z363" t="b">
        <f t="shared" si="84"/>
        <v>1</v>
      </c>
      <c r="AA363" t="b">
        <f t="shared" si="85"/>
        <v>1</v>
      </c>
      <c r="AB363" t="b">
        <f t="shared" si="86"/>
        <v>1</v>
      </c>
      <c r="AC363" t="b">
        <f t="shared" si="87"/>
        <v>1</v>
      </c>
      <c r="AD363" t="b">
        <f t="shared" si="88"/>
        <v>1</v>
      </c>
      <c r="AE363" t="b">
        <f t="shared" si="89"/>
        <v>1</v>
      </c>
      <c r="AG363" s="1">
        <v>2701894</v>
      </c>
      <c r="AH363" t="s">
        <v>896</v>
      </c>
      <c r="AI363">
        <v>540</v>
      </c>
      <c r="AJ363" t="s">
        <v>503</v>
      </c>
      <c r="AK363" s="2">
        <v>46286</v>
      </c>
      <c r="AL363" s="2">
        <v>46286</v>
      </c>
      <c r="AM363" s="3">
        <v>15</v>
      </c>
      <c r="AN363" t="s">
        <v>11</v>
      </c>
      <c r="AO363" s="3">
        <v>39000</v>
      </c>
      <c r="AP363" t="s">
        <v>897</v>
      </c>
      <c r="AR363" t="s">
        <v>516</v>
      </c>
    </row>
    <row r="364" spans="1:47" x14ac:dyDescent="0.25">
      <c r="A364" s="1">
        <v>2713291</v>
      </c>
      <c r="B364" t="s">
        <v>287</v>
      </c>
      <c r="C364">
        <v>540</v>
      </c>
      <c r="D364" t="s">
        <v>1</v>
      </c>
      <c r="E364" s="2">
        <v>46286</v>
      </c>
      <c r="F364" s="2">
        <v>46286</v>
      </c>
      <c r="G364" s="3">
        <v>12</v>
      </c>
      <c r="H364" t="s">
        <v>20</v>
      </c>
      <c r="I364" s="3">
        <v>5400</v>
      </c>
      <c r="J364" t="s">
        <v>105</v>
      </c>
      <c r="K364" t="s">
        <v>4</v>
      </c>
      <c r="L364" t="s">
        <v>30</v>
      </c>
      <c r="M364" t="s">
        <v>6</v>
      </c>
      <c r="N364" t="s">
        <v>231</v>
      </c>
      <c r="O364" t="s">
        <v>7</v>
      </c>
      <c r="Q364" t="b">
        <f t="shared" si="75"/>
        <v>1</v>
      </c>
      <c r="R364" t="b">
        <f t="shared" si="76"/>
        <v>1</v>
      </c>
      <c r="S364" t="b">
        <f t="shared" si="77"/>
        <v>1</v>
      </c>
      <c r="T364" t="b">
        <f t="shared" si="78"/>
        <v>1</v>
      </c>
      <c r="U364" t="b">
        <f t="shared" si="79"/>
        <v>1</v>
      </c>
      <c r="V364" t="b">
        <f t="shared" si="80"/>
        <v>1</v>
      </c>
      <c r="W364" t="b">
        <f t="shared" si="81"/>
        <v>1</v>
      </c>
      <c r="X364" t="b">
        <f t="shared" si="82"/>
        <v>1</v>
      </c>
      <c r="Y364" t="b">
        <f t="shared" si="83"/>
        <v>1</v>
      </c>
      <c r="Z364" t="b">
        <f t="shared" si="84"/>
        <v>1</v>
      </c>
      <c r="AA364" t="b">
        <f t="shared" si="85"/>
        <v>1</v>
      </c>
      <c r="AB364" t="b">
        <f t="shared" si="86"/>
        <v>1</v>
      </c>
      <c r="AC364" t="b">
        <f t="shared" si="87"/>
        <v>1</v>
      </c>
      <c r="AD364" t="b">
        <f t="shared" si="88"/>
        <v>1</v>
      </c>
      <c r="AE364" t="b">
        <f t="shared" si="89"/>
        <v>1</v>
      </c>
      <c r="AG364" s="1">
        <v>2713291</v>
      </c>
      <c r="AH364" t="s">
        <v>763</v>
      </c>
      <c r="AI364">
        <v>540</v>
      </c>
      <c r="AJ364" t="s">
        <v>503</v>
      </c>
      <c r="AK364" s="2">
        <v>46286</v>
      </c>
      <c r="AL364" s="2">
        <v>46286</v>
      </c>
      <c r="AM364" s="3">
        <v>12</v>
      </c>
      <c r="AN364" t="s">
        <v>20</v>
      </c>
      <c r="AO364" s="3">
        <v>5400</v>
      </c>
      <c r="AP364" t="s">
        <v>592</v>
      </c>
      <c r="AR364" t="s">
        <v>521</v>
      </c>
      <c r="AT364" t="s">
        <v>710</v>
      </c>
    </row>
    <row r="365" spans="1:47" x14ac:dyDescent="0.25">
      <c r="A365" s="1">
        <v>2648355</v>
      </c>
      <c r="B365" t="s">
        <v>482</v>
      </c>
      <c r="C365">
        <v>540</v>
      </c>
      <c r="D365" t="s">
        <v>1</v>
      </c>
      <c r="E365" s="2">
        <v>46287</v>
      </c>
      <c r="F365" s="2">
        <v>46287</v>
      </c>
      <c r="G365" s="3">
        <v>14</v>
      </c>
      <c r="H365" t="s">
        <v>20</v>
      </c>
      <c r="I365" s="3">
        <v>6174</v>
      </c>
      <c r="J365" t="s">
        <v>483</v>
      </c>
      <c r="K365" t="s">
        <v>4</v>
      </c>
      <c r="L365" t="s">
        <v>37</v>
      </c>
      <c r="M365" t="s">
        <v>6</v>
      </c>
      <c r="N365" t="s">
        <v>7</v>
      </c>
      <c r="O365" t="s">
        <v>479</v>
      </c>
      <c r="Q365" t="b">
        <f t="shared" si="75"/>
        <v>1</v>
      </c>
      <c r="R365" t="b">
        <f t="shared" si="76"/>
        <v>1</v>
      </c>
      <c r="S365" t="b">
        <f t="shared" si="77"/>
        <v>1</v>
      </c>
      <c r="T365" t="b">
        <f t="shared" si="78"/>
        <v>1</v>
      </c>
      <c r="U365" t="b">
        <f t="shared" si="79"/>
        <v>1</v>
      </c>
      <c r="V365" t="b">
        <f t="shared" si="80"/>
        <v>1</v>
      </c>
      <c r="W365" t="b">
        <f t="shared" si="81"/>
        <v>1</v>
      </c>
      <c r="X365" t="b">
        <f t="shared" si="82"/>
        <v>1</v>
      </c>
      <c r="Y365" t="b">
        <f t="shared" si="83"/>
        <v>1</v>
      </c>
      <c r="Z365" t="b">
        <f t="shared" si="84"/>
        <v>1</v>
      </c>
      <c r="AA365" t="b">
        <f t="shared" si="85"/>
        <v>1</v>
      </c>
      <c r="AB365" t="b">
        <f t="shared" si="86"/>
        <v>1</v>
      </c>
      <c r="AC365" t="b">
        <f t="shared" si="87"/>
        <v>1</v>
      </c>
      <c r="AD365" t="b">
        <f t="shared" si="88"/>
        <v>1</v>
      </c>
      <c r="AE365" t="b">
        <f t="shared" si="89"/>
        <v>1</v>
      </c>
      <c r="AG365" s="1">
        <v>2648355</v>
      </c>
      <c r="AH365" t="s">
        <v>947</v>
      </c>
      <c r="AI365">
        <v>540</v>
      </c>
      <c r="AJ365" t="s">
        <v>503</v>
      </c>
      <c r="AK365" s="2">
        <v>46287</v>
      </c>
      <c r="AL365" s="2">
        <v>46287</v>
      </c>
      <c r="AM365" s="3">
        <v>14</v>
      </c>
      <c r="AN365" t="s">
        <v>20</v>
      </c>
      <c r="AO365" s="3">
        <v>6174</v>
      </c>
      <c r="AP365" t="s">
        <v>948</v>
      </c>
      <c r="AR365" t="s">
        <v>528</v>
      </c>
      <c r="AU365" t="s">
        <v>944</v>
      </c>
    </row>
    <row r="366" spans="1:47" x14ac:dyDescent="0.25">
      <c r="A366" s="1">
        <v>2744398</v>
      </c>
      <c r="B366" t="s">
        <v>484</v>
      </c>
      <c r="C366">
        <v>530</v>
      </c>
      <c r="D366" t="s">
        <v>1</v>
      </c>
      <c r="E366" s="2">
        <v>46219</v>
      </c>
      <c r="F366" s="2">
        <v>46288</v>
      </c>
      <c r="G366" s="3">
        <v>1</v>
      </c>
      <c r="H366" t="s">
        <v>2</v>
      </c>
      <c r="I366" s="3">
        <v>40</v>
      </c>
      <c r="J366" t="s">
        <v>485</v>
      </c>
      <c r="K366" t="s">
        <v>290</v>
      </c>
      <c r="L366" t="s">
        <v>486</v>
      </c>
      <c r="M366" t="s">
        <v>6</v>
      </c>
      <c r="N366" t="s">
        <v>7</v>
      </c>
      <c r="O366" t="s">
        <v>487</v>
      </c>
      <c r="Q366" t="b">
        <f t="shared" si="75"/>
        <v>1</v>
      </c>
      <c r="R366" t="b">
        <f t="shared" si="76"/>
        <v>1</v>
      </c>
      <c r="S366" t="b">
        <f t="shared" si="77"/>
        <v>1</v>
      </c>
      <c r="T366" t="b">
        <f t="shared" si="78"/>
        <v>1</v>
      </c>
      <c r="U366" t="b">
        <f t="shared" si="79"/>
        <v>1</v>
      </c>
      <c r="V366" t="b">
        <f t="shared" si="80"/>
        <v>1</v>
      </c>
      <c r="W366" t="b">
        <f t="shared" si="81"/>
        <v>1</v>
      </c>
      <c r="X366" t="b">
        <f t="shared" si="82"/>
        <v>1</v>
      </c>
      <c r="Y366" t="b">
        <f t="shared" si="83"/>
        <v>1</v>
      </c>
      <c r="Z366" t="b">
        <f t="shared" si="84"/>
        <v>1</v>
      </c>
      <c r="AA366" t="b">
        <f t="shared" si="85"/>
        <v>1</v>
      </c>
      <c r="AB366" t="b">
        <f t="shared" si="86"/>
        <v>1</v>
      </c>
      <c r="AC366" t="b">
        <f t="shared" si="87"/>
        <v>1</v>
      </c>
      <c r="AD366" t="b">
        <f t="shared" si="88"/>
        <v>1</v>
      </c>
      <c r="AE366" t="b">
        <f t="shared" si="89"/>
        <v>1</v>
      </c>
      <c r="AG366" s="1">
        <v>2744398</v>
      </c>
      <c r="AH366" t="s">
        <v>949</v>
      </c>
      <c r="AI366">
        <v>530</v>
      </c>
      <c r="AJ366" t="s">
        <v>503</v>
      </c>
      <c r="AK366" s="2">
        <v>46219</v>
      </c>
      <c r="AL366" s="2">
        <v>46288</v>
      </c>
      <c r="AM366" s="3">
        <v>1</v>
      </c>
      <c r="AN366" t="s">
        <v>2</v>
      </c>
      <c r="AO366" s="3">
        <v>40</v>
      </c>
      <c r="AP366" t="s">
        <v>950</v>
      </c>
      <c r="AQ366" t="s">
        <v>290</v>
      </c>
      <c r="AR366" t="s">
        <v>951</v>
      </c>
      <c r="AU366" t="s">
        <v>952</v>
      </c>
    </row>
    <row r="367" spans="1:47" x14ac:dyDescent="0.25">
      <c r="A367" s="1">
        <v>2569177</v>
      </c>
      <c r="B367" t="s">
        <v>19</v>
      </c>
      <c r="C367">
        <v>540</v>
      </c>
      <c r="D367" t="s">
        <v>1</v>
      </c>
      <c r="E367" s="2">
        <v>46289</v>
      </c>
      <c r="F367" s="2">
        <v>46289</v>
      </c>
      <c r="G367" s="3">
        <v>80</v>
      </c>
      <c r="H367" t="s">
        <v>20</v>
      </c>
      <c r="I367" s="3">
        <v>36000</v>
      </c>
      <c r="J367" t="s">
        <v>21</v>
      </c>
      <c r="K367" t="s">
        <v>4</v>
      </c>
      <c r="L367" t="s">
        <v>22</v>
      </c>
      <c r="M367" t="s">
        <v>6</v>
      </c>
      <c r="N367" t="s">
        <v>7</v>
      </c>
      <c r="O367" t="s">
        <v>7</v>
      </c>
      <c r="Q367" t="b">
        <f t="shared" si="75"/>
        <v>1</v>
      </c>
      <c r="R367" t="b">
        <f t="shared" si="76"/>
        <v>1</v>
      </c>
      <c r="S367" t="b">
        <f t="shared" si="77"/>
        <v>1</v>
      </c>
      <c r="T367" t="b">
        <f t="shared" si="78"/>
        <v>1</v>
      </c>
      <c r="U367" t="b">
        <f t="shared" si="79"/>
        <v>1</v>
      </c>
      <c r="V367" t="b">
        <f t="shared" si="80"/>
        <v>1</v>
      </c>
      <c r="W367" t="b">
        <f t="shared" si="81"/>
        <v>1</v>
      </c>
      <c r="X367" t="b">
        <f t="shared" si="82"/>
        <v>1</v>
      </c>
      <c r="Y367" t="b">
        <f t="shared" si="83"/>
        <v>1</v>
      </c>
      <c r="Z367" t="b">
        <f t="shared" si="84"/>
        <v>1</v>
      </c>
      <c r="AA367" t="b">
        <f t="shared" si="85"/>
        <v>1</v>
      </c>
      <c r="AB367" t="b">
        <f t="shared" si="86"/>
        <v>1</v>
      </c>
      <c r="AC367" t="b">
        <f t="shared" si="87"/>
        <v>1</v>
      </c>
      <c r="AD367" t="b">
        <f t="shared" si="88"/>
        <v>1</v>
      </c>
      <c r="AE367" t="b">
        <f t="shared" si="89"/>
        <v>1</v>
      </c>
      <c r="AG367" s="1">
        <v>2569177</v>
      </c>
      <c r="AH367" t="s">
        <v>514</v>
      </c>
      <c r="AI367">
        <v>540</v>
      </c>
      <c r="AJ367" t="s">
        <v>503</v>
      </c>
      <c r="AK367" s="2">
        <v>46289</v>
      </c>
      <c r="AL367" s="2">
        <v>46289</v>
      </c>
      <c r="AM367" s="3">
        <v>80</v>
      </c>
      <c r="AN367" t="s">
        <v>20</v>
      </c>
      <c r="AO367" s="3">
        <v>36000</v>
      </c>
      <c r="AP367" t="s">
        <v>515</v>
      </c>
      <c r="AR367" t="s">
        <v>516</v>
      </c>
    </row>
    <row r="368" spans="1:47" x14ac:dyDescent="0.25">
      <c r="A368" s="1">
        <v>2734492</v>
      </c>
      <c r="B368" t="s">
        <v>309</v>
      </c>
      <c r="C368">
        <v>540</v>
      </c>
      <c r="D368" t="s">
        <v>1</v>
      </c>
      <c r="E368" s="2">
        <v>46290</v>
      </c>
      <c r="F368" s="2">
        <v>46290</v>
      </c>
      <c r="G368" s="3">
        <v>2</v>
      </c>
      <c r="H368" t="s">
        <v>11</v>
      </c>
      <c r="I368" s="3">
        <v>4200</v>
      </c>
      <c r="J368" t="s">
        <v>261</v>
      </c>
      <c r="K368" t="s">
        <v>4</v>
      </c>
      <c r="L368" t="s">
        <v>30</v>
      </c>
      <c r="M368" t="s">
        <v>6</v>
      </c>
      <c r="N368" t="s">
        <v>7</v>
      </c>
      <c r="O368" t="s">
        <v>7</v>
      </c>
      <c r="Q368" t="b">
        <f t="shared" si="75"/>
        <v>1</v>
      </c>
      <c r="R368" t="b">
        <f t="shared" si="76"/>
        <v>1</v>
      </c>
      <c r="S368" t="b">
        <f t="shared" si="77"/>
        <v>1</v>
      </c>
      <c r="T368" t="b">
        <f t="shared" si="78"/>
        <v>1</v>
      </c>
      <c r="U368" t="b">
        <f t="shared" si="79"/>
        <v>1</v>
      </c>
      <c r="V368" t="b">
        <f t="shared" si="80"/>
        <v>1</v>
      </c>
      <c r="W368" t="b">
        <f t="shared" si="81"/>
        <v>1</v>
      </c>
      <c r="X368" t="b">
        <f t="shared" si="82"/>
        <v>1</v>
      </c>
      <c r="Y368" t="b">
        <f t="shared" si="83"/>
        <v>1</v>
      </c>
      <c r="Z368" t="b">
        <f t="shared" si="84"/>
        <v>1</v>
      </c>
      <c r="AA368" t="b">
        <f t="shared" si="85"/>
        <v>1</v>
      </c>
      <c r="AB368" t="b">
        <f t="shared" si="86"/>
        <v>1</v>
      </c>
      <c r="AC368" t="b">
        <f t="shared" si="87"/>
        <v>1</v>
      </c>
      <c r="AD368" t="b">
        <f t="shared" si="88"/>
        <v>1</v>
      </c>
      <c r="AE368" t="b">
        <f t="shared" si="89"/>
        <v>1</v>
      </c>
      <c r="AG368" s="1">
        <v>2734492</v>
      </c>
      <c r="AH368" t="s">
        <v>781</v>
      </c>
      <c r="AI368">
        <v>540</v>
      </c>
      <c r="AJ368" t="s">
        <v>503</v>
      </c>
      <c r="AK368" s="2">
        <v>46290</v>
      </c>
      <c r="AL368" s="2">
        <v>46290</v>
      </c>
      <c r="AM368" s="3">
        <v>2</v>
      </c>
      <c r="AN368" t="s">
        <v>11</v>
      </c>
      <c r="AO368" s="3">
        <v>4200</v>
      </c>
      <c r="AP368" t="s">
        <v>738</v>
      </c>
      <c r="AR368" t="s">
        <v>521</v>
      </c>
    </row>
    <row r="369" spans="1:47" x14ac:dyDescent="0.25">
      <c r="A369" s="1">
        <v>2738299</v>
      </c>
      <c r="B369" t="s">
        <v>24</v>
      </c>
      <c r="C369">
        <v>540</v>
      </c>
      <c r="D369" t="s">
        <v>1</v>
      </c>
      <c r="E369" s="2">
        <v>46290</v>
      </c>
      <c r="F369" s="2">
        <v>46290</v>
      </c>
      <c r="G369" s="3">
        <v>4</v>
      </c>
      <c r="H369" t="s">
        <v>20</v>
      </c>
      <c r="I369" s="3">
        <v>1760</v>
      </c>
      <c r="J369" t="s">
        <v>488</v>
      </c>
      <c r="K369" t="s">
        <v>4</v>
      </c>
      <c r="L369" t="s">
        <v>37</v>
      </c>
      <c r="M369" t="s">
        <v>6</v>
      </c>
      <c r="N369" t="s">
        <v>7</v>
      </c>
      <c r="O369" t="s">
        <v>7</v>
      </c>
      <c r="Q369" t="b">
        <f t="shared" si="75"/>
        <v>1</v>
      </c>
      <c r="R369" t="b">
        <f t="shared" si="76"/>
        <v>1</v>
      </c>
      <c r="S369" t="b">
        <f t="shared" si="77"/>
        <v>1</v>
      </c>
      <c r="T369" t="b">
        <f t="shared" si="78"/>
        <v>1</v>
      </c>
      <c r="U369" t="b">
        <f t="shared" si="79"/>
        <v>1</v>
      </c>
      <c r="V369" t="b">
        <f t="shared" si="80"/>
        <v>1</v>
      </c>
      <c r="W369" t="b">
        <f t="shared" si="81"/>
        <v>1</v>
      </c>
      <c r="X369" t="b">
        <f t="shared" si="82"/>
        <v>1</v>
      </c>
      <c r="Y369" t="b">
        <f t="shared" si="83"/>
        <v>1</v>
      </c>
      <c r="Z369" t="b">
        <f t="shared" si="84"/>
        <v>1</v>
      </c>
      <c r="AA369" t="b">
        <f t="shared" si="85"/>
        <v>1</v>
      </c>
      <c r="AB369" t="b">
        <f t="shared" si="86"/>
        <v>1</v>
      </c>
      <c r="AC369" t="b">
        <f t="shared" si="87"/>
        <v>1</v>
      </c>
      <c r="AD369" t="b">
        <f t="shared" si="88"/>
        <v>1</v>
      </c>
      <c r="AE369" t="b">
        <f t="shared" si="89"/>
        <v>1</v>
      </c>
      <c r="AG369" s="1">
        <v>2738299</v>
      </c>
      <c r="AH369" t="s">
        <v>517</v>
      </c>
      <c r="AI369">
        <v>540</v>
      </c>
      <c r="AJ369" t="s">
        <v>503</v>
      </c>
      <c r="AK369" s="2">
        <v>46290</v>
      </c>
      <c r="AL369" s="2">
        <v>46290</v>
      </c>
      <c r="AM369" s="3">
        <v>4</v>
      </c>
      <c r="AN369" t="s">
        <v>20</v>
      </c>
      <c r="AO369" s="3">
        <v>1760</v>
      </c>
      <c r="AP369" t="s">
        <v>953</v>
      </c>
      <c r="AR369" t="s">
        <v>528</v>
      </c>
    </row>
    <row r="370" spans="1:47" x14ac:dyDescent="0.25">
      <c r="A370" s="1">
        <v>2694880</v>
      </c>
      <c r="B370" t="s">
        <v>489</v>
      </c>
      <c r="C370">
        <v>530</v>
      </c>
      <c r="D370" t="s">
        <v>1</v>
      </c>
      <c r="E370" s="2">
        <v>46175</v>
      </c>
      <c r="F370" s="2">
        <v>46294</v>
      </c>
      <c r="G370" s="3">
        <v>14</v>
      </c>
      <c r="H370" t="s">
        <v>20</v>
      </c>
      <c r="I370" s="3">
        <v>2800</v>
      </c>
      <c r="J370" t="s">
        <v>490</v>
      </c>
      <c r="K370" t="s">
        <v>491</v>
      </c>
      <c r="L370" t="s">
        <v>108</v>
      </c>
      <c r="M370" t="s">
        <v>6</v>
      </c>
      <c r="N370" t="s">
        <v>7</v>
      </c>
      <c r="O370" t="s">
        <v>446</v>
      </c>
      <c r="Q370" t="b">
        <f t="shared" si="75"/>
        <v>1</v>
      </c>
      <c r="R370" t="b">
        <f t="shared" si="76"/>
        <v>1</v>
      </c>
      <c r="S370" t="b">
        <f t="shared" si="77"/>
        <v>1</v>
      </c>
      <c r="T370" t="b">
        <f t="shared" si="78"/>
        <v>1</v>
      </c>
      <c r="U370" t="b">
        <f t="shared" si="79"/>
        <v>1</v>
      </c>
      <c r="V370" t="b">
        <f t="shared" si="80"/>
        <v>1</v>
      </c>
      <c r="W370" t="b">
        <f t="shared" si="81"/>
        <v>1</v>
      </c>
      <c r="X370" t="b">
        <f t="shared" si="82"/>
        <v>1</v>
      </c>
      <c r="Y370" t="b">
        <f t="shared" si="83"/>
        <v>1</v>
      </c>
      <c r="Z370" t="b">
        <f t="shared" si="84"/>
        <v>1</v>
      </c>
      <c r="AA370" t="b">
        <f t="shared" si="85"/>
        <v>1</v>
      </c>
      <c r="AB370" t="b">
        <f t="shared" si="86"/>
        <v>1</v>
      </c>
      <c r="AC370" t="b">
        <f t="shared" si="87"/>
        <v>1</v>
      </c>
      <c r="AD370" t="b">
        <f t="shared" si="88"/>
        <v>1</v>
      </c>
      <c r="AE370" t="b">
        <f t="shared" si="89"/>
        <v>1</v>
      </c>
      <c r="AG370" s="1">
        <v>2694880</v>
      </c>
      <c r="AH370" t="s">
        <v>954</v>
      </c>
      <c r="AI370">
        <v>530</v>
      </c>
      <c r="AJ370" t="s">
        <v>503</v>
      </c>
      <c r="AK370" s="2">
        <v>46175</v>
      </c>
      <c r="AL370" s="2">
        <v>46294</v>
      </c>
      <c r="AM370" s="3">
        <v>14</v>
      </c>
      <c r="AN370" t="s">
        <v>20</v>
      </c>
      <c r="AO370" s="3">
        <v>2800</v>
      </c>
      <c r="AP370" t="s">
        <v>955</v>
      </c>
      <c r="AQ370" t="s">
        <v>491</v>
      </c>
      <c r="AR370" t="s">
        <v>595</v>
      </c>
      <c r="AU370" t="s">
        <v>915</v>
      </c>
    </row>
    <row r="371" spans="1:47" x14ac:dyDescent="0.25">
      <c r="A371" s="1">
        <v>2727624</v>
      </c>
      <c r="B371" t="s">
        <v>287</v>
      </c>
      <c r="C371">
        <v>540</v>
      </c>
      <c r="D371" t="s">
        <v>1</v>
      </c>
      <c r="E371" s="2">
        <v>46294</v>
      </c>
      <c r="F371" s="2">
        <v>46294</v>
      </c>
      <c r="G371" s="3">
        <v>2</v>
      </c>
      <c r="H371" t="s">
        <v>11</v>
      </c>
      <c r="I371" s="3">
        <v>5400</v>
      </c>
      <c r="J371" t="s">
        <v>230</v>
      </c>
      <c r="K371" t="s">
        <v>4</v>
      </c>
      <c r="L371" t="s">
        <v>30</v>
      </c>
      <c r="M371" t="s">
        <v>6</v>
      </c>
      <c r="N371" t="s">
        <v>231</v>
      </c>
      <c r="O371" t="s">
        <v>7</v>
      </c>
      <c r="Q371" t="b">
        <f t="shared" si="75"/>
        <v>1</v>
      </c>
      <c r="R371" t="b">
        <f t="shared" si="76"/>
        <v>1</v>
      </c>
      <c r="S371" t="b">
        <f t="shared" si="77"/>
        <v>1</v>
      </c>
      <c r="T371" t="b">
        <f t="shared" si="78"/>
        <v>1</v>
      </c>
      <c r="U371" t="b">
        <f t="shared" si="79"/>
        <v>1</v>
      </c>
      <c r="V371" t="b">
        <f t="shared" si="80"/>
        <v>1</v>
      </c>
      <c r="W371" t="b">
        <f t="shared" si="81"/>
        <v>1</v>
      </c>
      <c r="X371" t="b">
        <f t="shared" si="82"/>
        <v>1</v>
      </c>
      <c r="Y371" t="b">
        <f t="shared" si="83"/>
        <v>1</v>
      </c>
      <c r="Z371" t="b">
        <f t="shared" si="84"/>
        <v>1</v>
      </c>
      <c r="AA371" t="b">
        <f t="shared" si="85"/>
        <v>1</v>
      </c>
      <c r="AB371" t="b">
        <f t="shared" si="86"/>
        <v>1</v>
      </c>
      <c r="AC371" t="b">
        <f t="shared" si="87"/>
        <v>1</v>
      </c>
      <c r="AD371" t="b">
        <f t="shared" si="88"/>
        <v>1</v>
      </c>
      <c r="AE371" t="b">
        <f t="shared" si="89"/>
        <v>1</v>
      </c>
      <c r="AG371" s="1">
        <v>2727624</v>
      </c>
      <c r="AH371" t="s">
        <v>763</v>
      </c>
      <c r="AI371">
        <v>540</v>
      </c>
      <c r="AJ371" t="s">
        <v>503</v>
      </c>
      <c r="AK371" s="2">
        <v>46294</v>
      </c>
      <c r="AL371" s="2">
        <v>46294</v>
      </c>
      <c r="AM371" s="3">
        <v>2</v>
      </c>
      <c r="AN371" t="s">
        <v>11</v>
      </c>
      <c r="AO371" s="3">
        <v>5400</v>
      </c>
      <c r="AP371" t="s">
        <v>709</v>
      </c>
      <c r="AR371" t="s">
        <v>521</v>
      </c>
      <c r="AT371" t="s">
        <v>710</v>
      </c>
    </row>
    <row r="372" spans="1:47" x14ac:dyDescent="0.25">
      <c r="A372" s="1">
        <v>2713292</v>
      </c>
      <c r="B372" t="s">
        <v>287</v>
      </c>
      <c r="C372">
        <v>540</v>
      </c>
      <c r="D372" t="s">
        <v>1</v>
      </c>
      <c r="E372" s="2">
        <v>46295</v>
      </c>
      <c r="F372" s="2">
        <v>46295</v>
      </c>
      <c r="G372" s="3">
        <v>12</v>
      </c>
      <c r="H372" t="s">
        <v>20</v>
      </c>
      <c r="I372" s="3">
        <v>5400</v>
      </c>
      <c r="J372" t="s">
        <v>105</v>
      </c>
      <c r="K372" t="s">
        <v>4</v>
      </c>
      <c r="L372" t="s">
        <v>30</v>
      </c>
      <c r="M372" t="s">
        <v>6</v>
      </c>
      <c r="N372" t="s">
        <v>231</v>
      </c>
      <c r="O372" t="s">
        <v>7</v>
      </c>
      <c r="Q372" t="b">
        <f t="shared" si="75"/>
        <v>1</v>
      </c>
      <c r="R372" t="b">
        <f t="shared" si="76"/>
        <v>1</v>
      </c>
      <c r="S372" t="b">
        <f t="shared" si="77"/>
        <v>1</v>
      </c>
      <c r="T372" t="b">
        <f t="shared" si="78"/>
        <v>1</v>
      </c>
      <c r="U372" t="b">
        <f t="shared" si="79"/>
        <v>1</v>
      </c>
      <c r="V372" t="b">
        <f t="shared" si="80"/>
        <v>1</v>
      </c>
      <c r="W372" t="b">
        <f t="shared" si="81"/>
        <v>1</v>
      </c>
      <c r="X372" t="b">
        <f t="shared" si="82"/>
        <v>1</v>
      </c>
      <c r="Y372" t="b">
        <f t="shared" si="83"/>
        <v>1</v>
      </c>
      <c r="Z372" t="b">
        <f t="shared" si="84"/>
        <v>1</v>
      </c>
      <c r="AA372" t="b">
        <f t="shared" si="85"/>
        <v>1</v>
      </c>
      <c r="AB372" t="b">
        <f t="shared" si="86"/>
        <v>1</v>
      </c>
      <c r="AC372" t="b">
        <f t="shared" si="87"/>
        <v>1</v>
      </c>
      <c r="AD372" t="b">
        <f t="shared" si="88"/>
        <v>1</v>
      </c>
      <c r="AE372" t="b">
        <f t="shared" si="89"/>
        <v>1</v>
      </c>
      <c r="AG372" s="1">
        <v>2713292</v>
      </c>
      <c r="AH372" t="s">
        <v>763</v>
      </c>
      <c r="AI372">
        <v>540</v>
      </c>
      <c r="AJ372" t="s">
        <v>503</v>
      </c>
      <c r="AK372" s="2">
        <v>46295</v>
      </c>
      <c r="AL372" s="2">
        <v>46295</v>
      </c>
      <c r="AM372" s="3">
        <v>12</v>
      </c>
      <c r="AN372" t="s">
        <v>20</v>
      </c>
      <c r="AO372" s="3">
        <v>5400</v>
      </c>
      <c r="AP372" t="s">
        <v>592</v>
      </c>
      <c r="AR372" t="s">
        <v>521</v>
      </c>
      <c r="AT372" t="s">
        <v>710</v>
      </c>
    </row>
    <row r="373" spans="1:47" x14ac:dyDescent="0.25">
      <c r="A373" s="1">
        <v>2718751</v>
      </c>
      <c r="B373" t="s">
        <v>465</v>
      </c>
      <c r="C373">
        <v>540</v>
      </c>
      <c r="D373" t="s">
        <v>1</v>
      </c>
      <c r="E373" s="2">
        <v>46295</v>
      </c>
      <c r="F373" s="2">
        <v>46295</v>
      </c>
      <c r="G373" s="3">
        <v>18</v>
      </c>
      <c r="H373" t="s">
        <v>11</v>
      </c>
      <c r="I373" s="3">
        <v>39600</v>
      </c>
      <c r="J373" t="s">
        <v>167</v>
      </c>
      <c r="K373" t="s">
        <v>4</v>
      </c>
      <c r="L373" t="s">
        <v>22</v>
      </c>
      <c r="M373" t="s">
        <v>23</v>
      </c>
      <c r="N373" t="s">
        <v>7</v>
      </c>
      <c r="O373" t="s">
        <v>7</v>
      </c>
      <c r="Q373" t="b">
        <f t="shared" si="75"/>
        <v>1</v>
      </c>
      <c r="R373" t="b">
        <f t="shared" si="76"/>
        <v>1</v>
      </c>
      <c r="S373" t="b">
        <f t="shared" si="77"/>
        <v>1</v>
      </c>
      <c r="T373" t="b">
        <f t="shared" si="78"/>
        <v>1</v>
      </c>
      <c r="U373" t="b">
        <f t="shared" si="79"/>
        <v>1</v>
      </c>
      <c r="V373" t="b">
        <f t="shared" si="80"/>
        <v>1</v>
      </c>
      <c r="W373" t="b">
        <f t="shared" si="81"/>
        <v>1</v>
      </c>
      <c r="X373" t="b">
        <f t="shared" si="82"/>
        <v>1</v>
      </c>
      <c r="Y373" t="b">
        <f t="shared" si="83"/>
        <v>1</v>
      </c>
      <c r="Z373" t="b">
        <f t="shared" si="84"/>
        <v>1</v>
      </c>
      <c r="AA373" t="b">
        <f t="shared" si="85"/>
        <v>1</v>
      </c>
      <c r="AB373" t="b">
        <f t="shared" si="86"/>
        <v>1</v>
      </c>
      <c r="AC373" t="b">
        <f t="shared" si="87"/>
        <v>1</v>
      </c>
      <c r="AD373" t="b">
        <f t="shared" si="88"/>
        <v>1</v>
      </c>
      <c r="AE373" t="b">
        <f t="shared" si="89"/>
        <v>1</v>
      </c>
      <c r="AG373" s="1">
        <v>2718751</v>
      </c>
      <c r="AH373" t="s">
        <v>932</v>
      </c>
      <c r="AI373">
        <v>540</v>
      </c>
      <c r="AJ373" t="s">
        <v>503</v>
      </c>
      <c r="AK373" s="2">
        <v>46295</v>
      </c>
      <c r="AL373" s="2">
        <v>46295</v>
      </c>
      <c r="AM373" s="3">
        <v>18</v>
      </c>
      <c r="AN373" t="s">
        <v>11</v>
      </c>
      <c r="AO373" s="3">
        <v>39600</v>
      </c>
      <c r="AP373" t="s">
        <v>650</v>
      </c>
      <c r="AR373" t="s">
        <v>516</v>
      </c>
      <c r="AS373" t="s">
        <v>23</v>
      </c>
    </row>
    <row r="374" spans="1:47" x14ac:dyDescent="0.25">
      <c r="A374" s="1">
        <v>2743582</v>
      </c>
      <c r="B374" t="s">
        <v>344</v>
      </c>
      <c r="C374">
        <v>540</v>
      </c>
      <c r="D374" t="s">
        <v>1</v>
      </c>
      <c r="E374" s="2">
        <v>46295</v>
      </c>
      <c r="F374" s="2">
        <v>46295</v>
      </c>
      <c r="G374" s="3">
        <v>12</v>
      </c>
      <c r="H374" t="s">
        <v>20</v>
      </c>
      <c r="I374" s="3">
        <v>5700</v>
      </c>
      <c r="J374" t="s">
        <v>89</v>
      </c>
      <c r="K374" t="s">
        <v>4</v>
      </c>
      <c r="L374" t="s">
        <v>37</v>
      </c>
      <c r="M374" t="s">
        <v>6</v>
      </c>
      <c r="N374" t="s">
        <v>7</v>
      </c>
      <c r="O374" t="s">
        <v>7</v>
      </c>
      <c r="Q374" t="b">
        <f t="shared" si="75"/>
        <v>1</v>
      </c>
      <c r="R374" t="b">
        <f t="shared" si="76"/>
        <v>1</v>
      </c>
      <c r="S374" t="b">
        <f t="shared" si="77"/>
        <v>1</v>
      </c>
      <c r="T374" t="b">
        <f t="shared" si="78"/>
        <v>1</v>
      </c>
      <c r="U374" t="b">
        <f t="shared" si="79"/>
        <v>1</v>
      </c>
      <c r="V374" t="b">
        <f t="shared" si="80"/>
        <v>1</v>
      </c>
      <c r="W374" t="b">
        <f t="shared" si="81"/>
        <v>1</v>
      </c>
      <c r="X374" t="b">
        <f t="shared" si="82"/>
        <v>1</v>
      </c>
      <c r="Y374" t="b">
        <f t="shared" si="83"/>
        <v>1</v>
      </c>
      <c r="Z374" t="b">
        <f t="shared" si="84"/>
        <v>1</v>
      </c>
      <c r="AA374" t="b">
        <f t="shared" si="85"/>
        <v>1</v>
      </c>
      <c r="AB374" t="b">
        <f t="shared" si="86"/>
        <v>1</v>
      </c>
      <c r="AC374" t="b">
        <f t="shared" si="87"/>
        <v>1</v>
      </c>
      <c r="AD374" t="b">
        <f t="shared" si="88"/>
        <v>1</v>
      </c>
      <c r="AE374" t="b">
        <f t="shared" si="89"/>
        <v>1</v>
      </c>
      <c r="AG374" s="1">
        <v>2743582</v>
      </c>
      <c r="AH374" t="s">
        <v>814</v>
      </c>
      <c r="AI374">
        <v>540</v>
      </c>
      <c r="AJ374" t="s">
        <v>503</v>
      </c>
      <c r="AK374" s="2">
        <v>46295</v>
      </c>
      <c r="AL374" s="2">
        <v>46295</v>
      </c>
      <c r="AM374" s="3">
        <v>12</v>
      </c>
      <c r="AN374" t="s">
        <v>20</v>
      </c>
      <c r="AO374" s="3">
        <v>5700</v>
      </c>
      <c r="AP374" t="s">
        <v>576</v>
      </c>
      <c r="AR374" t="s">
        <v>528</v>
      </c>
    </row>
    <row r="375" spans="1:47" x14ac:dyDescent="0.25">
      <c r="A375" s="1">
        <v>2569178</v>
      </c>
      <c r="B375" t="s">
        <v>19</v>
      </c>
      <c r="C375">
        <v>540</v>
      </c>
      <c r="D375" t="s">
        <v>1</v>
      </c>
      <c r="E375" s="2">
        <v>46296</v>
      </c>
      <c r="F375" s="2">
        <v>46296</v>
      </c>
      <c r="G375" s="3">
        <v>80</v>
      </c>
      <c r="H375" t="s">
        <v>20</v>
      </c>
      <c r="I375" s="3">
        <v>36000</v>
      </c>
      <c r="J375" t="s">
        <v>21</v>
      </c>
      <c r="K375" t="s">
        <v>4</v>
      </c>
      <c r="L375" t="s">
        <v>22</v>
      </c>
      <c r="M375" t="s">
        <v>6</v>
      </c>
      <c r="N375" t="s">
        <v>7</v>
      </c>
      <c r="O375" t="s">
        <v>7</v>
      </c>
      <c r="Q375" t="b">
        <f t="shared" si="75"/>
        <v>1</v>
      </c>
      <c r="R375" t="b">
        <f t="shared" si="76"/>
        <v>1</v>
      </c>
      <c r="S375" t="b">
        <f t="shared" si="77"/>
        <v>1</v>
      </c>
      <c r="T375" t="b">
        <f t="shared" si="78"/>
        <v>1</v>
      </c>
      <c r="U375" t="b">
        <f t="shared" si="79"/>
        <v>1</v>
      </c>
      <c r="V375" t="b">
        <f t="shared" si="80"/>
        <v>1</v>
      </c>
      <c r="W375" t="b">
        <f t="shared" si="81"/>
        <v>1</v>
      </c>
      <c r="X375" t="b">
        <f t="shared" si="82"/>
        <v>1</v>
      </c>
      <c r="Y375" t="b">
        <f t="shared" si="83"/>
        <v>1</v>
      </c>
      <c r="Z375" t="b">
        <f t="shared" si="84"/>
        <v>1</v>
      </c>
      <c r="AA375" t="b">
        <f t="shared" si="85"/>
        <v>1</v>
      </c>
      <c r="AB375" t="b">
        <f t="shared" si="86"/>
        <v>1</v>
      </c>
      <c r="AC375" t="b">
        <f t="shared" si="87"/>
        <v>1</v>
      </c>
      <c r="AD375" t="b">
        <f t="shared" si="88"/>
        <v>1</v>
      </c>
      <c r="AE375" t="b">
        <f t="shared" si="89"/>
        <v>1</v>
      </c>
      <c r="AG375" s="1">
        <v>2569178</v>
      </c>
      <c r="AH375" t="s">
        <v>514</v>
      </c>
      <c r="AI375">
        <v>540</v>
      </c>
      <c r="AJ375" t="s">
        <v>503</v>
      </c>
      <c r="AK375" s="2">
        <v>46296</v>
      </c>
      <c r="AL375" s="2">
        <v>46296</v>
      </c>
      <c r="AM375" s="3">
        <v>80</v>
      </c>
      <c r="AN375" t="s">
        <v>20</v>
      </c>
      <c r="AO375" s="3">
        <v>36000</v>
      </c>
      <c r="AP375" t="s">
        <v>515</v>
      </c>
      <c r="AR375" t="s">
        <v>516</v>
      </c>
    </row>
    <row r="376" spans="1:47" x14ac:dyDescent="0.25">
      <c r="A376" s="1">
        <v>2662943</v>
      </c>
      <c r="B376" t="s">
        <v>288</v>
      </c>
      <c r="C376">
        <v>540</v>
      </c>
      <c r="D376" t="s">
        <v>1</v>
      </c>
      <c r="E376" s="2">
        <v>46169</v>
      </c>
      <c r="F376" s="2">
        <v>46296</v>
      </c>
      <c r="G376" s="3">
        <v>18</v>
      </c>
      <c r="H376" t="s">
        <v>11</v>
      </c>
      <c r="I376" s="3">
        <v>0</v>
      </c>
      <c r="J376" t="s">
        <v>492</v>
      </c>
      <c r="K376" t="s">
        <v>290</v>
      </c>
      <c r="L376" t="s">
        <v>22</v>
      </c>
      <c r="M376" t="s">
        <v>23</v>
      </c>
      <c r="N376" t="s">
        <v>7</v>
      </c>
      <c r="O376" t="s">
        <v>7</v>
      </c>
      <c r="Q376" t="b">
        <f t="shared" si="75"/>
        <v>1</v>
      </c>
      <c r="R376" t="b">
        <f t="shared" si="76"/>
        <v>1</v>
      </c>
      <c r="S376" t="b">
        <f t="shared" si="77"/>
        <v>1</v>
      </c>
      <c r="T376" t="b">
        <f t="shared" si="78"/>
        <v>1</v>
      </c>
      <c r="U376" t="b">
        <f t="shared" si="79"/>
        <v>1</v>
      </c>
      <c r="V376" t="b">
        <f t="shared" si="80"/>
        <v>1</v>
      </c>
      <c r="W376" t="b">
        <f t="shared" si="81"/>
        <v>1</v>
      </c>
      <c r="X376" t="b">
        <f t="shared" si="82"/>
        <v>1</v>
      </c>
      <c r="Y376" t="b">
        <f t="shared" si="83"/>
        <v>1</v>
      </c>
      <c r="Z376" t="b">
        <f t="shared" si="84"/>
        <v>1</v>
      </c>
      <c r="AA376" t="b">
        <f t="shared" si="85"/>
        <v>1</v>
      </c>
      <c r="AB376" t="b">
        <f t="shared" si="86"/>
        <v>1</v>
      </c>
      <c r="AC376" t="b">
        <f t="shared" si="87"/>
        <v>1</v>
      </c>
      <c r="AD376" t="b">
        <f t="shared" si="88"/>
        <v>1</v>
      </c>
      <c r="AE376" t="b">
        <f t="shared" si="89"/>
        <v>1</v>
      </c>
      <c r="AG376" s="1">
        <v>2662943</v>
      </c>
      <c r="AH376" t="s">
        <v>288</v>
      </c>
      <c r="AI376">
        <v>540</v>
      </c>
      <c r="AJ376" t="s">
        <v>503</v>
      </c>
      <c r="AK376" s="2">
        <v>46169</v>
      </c>
      <c r="AL376" s="2">
        <v>46296</v>
      </c>
      <c r="AM376" s="3">
        <v>18</v>
      </c>
      <c r="AN376" t="s">
        <v>11</v>
      </c>
      <c r="AO376" s="3">
        <v>0</v>
      </c>
      <c r="AP376" t="s">
        <v>956</v>
      </c>
      <c r="AQ376" t="s">
        <v>290</v>
      </c>
      <c r="AR376" t="s">
        <v>516</v>
      </c>
      <c r="AS376" t="s">
        <v>23</v>
      </c>
    </row>
    <row r="377" spans="1:47" x14ac:dyDescent="0.25">
      <c r="A377" s="1">
        <v>2701893</v>
      </c>
      <c r="B377" t="s">
        <v>426</v>
      </c>
      <c r="C377">
        <v>540</v>
      </c>
      <c r="D377" t="s">
        <v>1</v>
      </c>
      <c r="E377" s="2">
        <v>46300</v>
      </c>
      <c r="F377" s="2">
        <v>46300</v>
      </c>
      <c r="G377" s="3">
        <v>15</v>
      </c>
      <c r="H377" t="s">
        <v>11</v>
      </c>
      <c r="I377" s="3">
        <v>39000</v>
      </c>
      <c r="J377" t="s">
        <v>427</v>
      </c>
      <c r="K377" t="s">
        <v>4</v>
      </c>
      <c r="L377" t="s">
        <v>22</v>
      </c>
      <c r="M377" t="s">
        <v>6</v>
      </c>
      <c r="N377" t="s">
        <v>7</v>
      </c>
      <c r="O377" t="s">
        <v>7</v>
      </c>
      <c r="Q377" t="b">
        <f t="shared" si="75"/>
        <v>1</v>
      </c>
      <c r="R377" t="b">
        <f t="shared" si="76"/>
        <v>1</v>
      </c>
      <c r="S377" t="b">
        <f t="shared" si="77"/>
        <v>1</v>
      </c>
      <c r="T377" t="b">
        <f t="shared" si="78"/>
        <v>1</v>
      </c>
      <c r="U377" t="b">
        <f t="shared" si="79"/>
        <v>1</v>
      </c>
      <c r="V377" t="b">
        <f t="shared" si="80"/>
        <v>1</v>
      </c>
      <c r="W377" t="b">
        <f t="shared" si="81"/>
        <v>1</v>
      </c>
      <c r="X377" t="b">
        <f t="shared" si="82"/>
        <v>1</v>
      </c>
      <c r="Y377" t="b">
        <f t="shared" si="83"/>
        <v>1</v>
      </c>
      <c r="Z377" t="b">
        <f t="shared" si="84"/>
        <v>1</v>
      </c>
      <c r="AA377" t="b">
        <f t="shared" si="85"/>
        <v>1</v>
      </c>
      <c r="AB377" t="b">
        <f t="shared" si="86"/>
        <v>1</v>
      </c>
      <c r="AC377" t="b">
        <f t="shared" si="87"/>
        <v>1</v>
      </c>
      <c r="AD377" t="b">
        <f t="shared" si="88"/>
        <v>1</v>
      </c>
      <c r="AE377" t="b">
        <f t="shared" si="89"/>
        <v>1</v>
      </c>
      <c r="AG377" s="1">
        <v>2701893</v>
      </c>
      <c r="AH377" t="s">
        <v>896</v>
      </c>
      <c r="AI377">
        <v>540</v>
      </c>
      <c r="AJ377" t="s">
        <v>503</v>
      </c>
      <c r="AK377" s="2">
        <v>46300</v>
      </c>
      <c r="AL377" s="2">
        <v>46300</v>
      </c>
      <c r="AM377" s="3">
        <v>15</v>
      </c>
      <c r="AN377" t="s">
        <v>11</v>
      </c>
      <c r="AO377" s="3">
        <v>39000</v>
      </c>
      <c r="AP377" t="s">
        <v>897</v>
      </c>
      <c r="AR377" t="s">
        <v>516</v>
      </c>
    </row>
    <row r="378" spans="1:47" x14ac:dyDescent="0.25">
      <c r="A378" s="1">
        <v>2738298</v>
      </c>
      <c r="B378" t="s">
        <v>24</v>
      </c>
      <c r="C378">
        <v>540</v>
      </c>
      <c r="D378" t="s">
        <v>1</v>
      </c>
      <c r="E378" s="2">
        <v>46302</v>
      </c>
      <c r="F378" s="2">
        <v>46302</v>
      </c>
      <c r="G378" s="3">
        <v>12</v>
      </c>
      <c r="H378" t="s">
        <v>20</v>
      </c>
      <c r="I378" s="3">
        <v>5400</v>
      </c>
      <c r="J378" t="s">
        <v>493</v>
      </c>
      <c r="K378" t="s">
        <v>4</v>
      </c>
      <c r="L378" t="s">
        <v>37</v>
      </c>
      <c r="M378" t="s">
        <v>6</v>
      </c>
      <c r="N378" t="s">
        <v>7</v>
      </c>
      <c r="O378" t="s">
        <v>7</v>
      </c>
      <c r="Q378" t="b">
        <f t="shared" si="75"/>
        <v>1</v>
      </c>
      <c r="R378" t="b">
        <f t="shared" si="76"/>
        <v>1</v>
      </c>
      <c r="S378" t="b">
        <f t="shared" si="77"/>
        <v>1</v>
      </c>
      <c r="T378" t="b">
        <f t="shared" si="78"/>
        <v>1</v>
      </c>
      <c r="U378" t="b">
        <f t="shared" si="79"/>
        <v>1</v>
      </c>
      <c r="V378" t="b">
        <f t="shared" si="80"/>
        <v>1</v>
      </c>
      <c r="W378" t="b">
        <f t="shared" si="81"/>
        <v>1</v>
      </c>
      <c r="X378" t="b">
        <f t="shared" si="82"/>
        <v>1</v>
      </c>
      <c r="Y378" t="b">
        <f t="shared" si="83"/>
        <v>1</v>
      </c>
      <c r="Z378" t="b">
        <f t="shared" si="84"/>
        <v>1</v>
      </c>
      <c r="AA378" t="b">
        <f t="shared" si="85"/>
        <v>1</v>
      </c>
      <c r="AB378" t="b">
        <f t="shared" si="86"/>
        <v>1</v>
      </c>
      <c r="AC378" t="b">
        <f t="shared" si="87"/>
        <v>1</v>
      </c>
      <c r="AD378" t="b">
        <f t="shared" si="88"/>
        <v>1</v>
      </c>
      <c r="AE378" t="b">
        <f t="shared" si="89"/>
        <v>1</v>
      </c>
      <c r="AG378" s="1">
        <v>2738298</v>
      </c>
      <c r="AH378" t="s">
        <v>517</v>
      </c>
      <c r="AI378">
        <v>540</v>
      </c>
      <c r="AJ378" t="s">
        <v>503</v>
      </c>
      <c r="AK378" s="2">
        <v>46302</v>
      </c>
      <c r="AL378" s="2">
        <v>46302</v>
      </c>
      <c r="AM378" s="3">
        <v>12</v>
      </c>
      <c r="AN378" t="s">
        <v>20</v>
      </c>
      <c r="AO378" s="3">
        <v>5400</v>
      </c>
      <c r="AP378" t="s">
        <v>957</v>
      </c>
      <c r="AR378" t="s">
        <v>528</v>
      </c>
    </row>
    <row r="379" spans="1:47" x14ac:dyDescent="0.25">
      <c r="A379" s="1">
        <v>2569179</v>
      </c>
      <c r="B379" t="s">
        <v>19</v>
      </c>
      <c r="C379">
        <v>540</v>
      </c>
      <c r="D379" t="s">
        <v>1</v>
      </c>
      <c r="E379" s="2">
        <v>46303</v>
      </c>
      <c r="F379" s="2">
        <v>46303</v>
      </c>
      <c r="G379" s="3">
        <v>80</v>
      </c>
      <c r="H379" t="s">
        <v>20</v>
      </c>
      <c r="I379" s="3">
        <v>36000</v>
      </c>
      <c r="J379" t="s">
        <v>21</v>
      </c>
      <c r="K379" t="s">
        <v>4</v>
      </c>
      <c r="L379" t="s">
        <v>22</v>
      </c>
      <c r="M379" t="s">
        <v>6</v>
      </c>
      <c r="N379" t="s">
        <v>7</v>
      </c>
      <c r="O379" t="s">
        <v>7</v>
      </c>
      <c r="Q379" t="b">
        <f t="shared" si="75"/>
        <v>1</v>
      </c>
      <c r="R379" t="b">
        <f t="shared" si="76"/>
        <v>1</v>
      </c>
      <c r="S379" t="b">
        <f t="shared" si="77"/>
        <v>1</v>
      </c>
      <c r="T379" t="b">
        <f t="shared" si="78"/>
        <v>1</v>
      </c>
      <c r="U379" t="b">
        <f t="shared" si="79"/>
        <v>1</v>
      </c>
      <c r="V379" t="b">
        <f t="shared" si="80"/>
        <v>1</v>
      </c>
      <c r="W379" t="b">
        <f t="shared" si="81"/>
        <v>1</v>
      </c>
      <c r="X379" t="b">
        <f t="shared" si="82"/>
        <v>1</v>
      </c>
      <c r="Y379" t="b">
        <f t="shared" si="83"/>
        <v>1</v>
      </c>
      <c r="Z379" t="b">
        <f t="shared" si="84"/>
        <v>1</v>
      </c>
      <c r="AA379" t="b">
        <f t="shared" si="85"/>
        <v>1</v>
      </c>
      <c r="AB379" t="b">
        <f t="shared" si="86"/>
        <v>1</v>
      </c>
      <c r="AC379" t="b">
        <f t="shared" si="87"/>
        <v>1</v>
      </c>
      <c r="AD379" t="b">
        <f t="shared" si="88"/>
        <v>1</v>
      </c>
      <c r="AE379" t="b">
        <f t="shared" si="89"/>
        <v>1</v>
      </c>
      <c r="AG379" s="1">
        <v>2569179</v>
      </c>
      <c r="AH379" t="s">
        <v>514</v>
      </c>
      <c r="AI379">
        <v>540</v>
      </c>
      <c r="AJ379" t="s">
        <v>503</v>
      </c>
      <c r="AK379" s="2">
        <v>46303</v>
      </c>
      <c r="AL379" s="2">
        <v>46303</v>
      </c>
      <c r="AM379" s="3">
        <v>80</v>
      </c>
      <c r="AN379" t="s">
        <v>20</v>
      </c>
      <c r="AO379" s="3">
        <v>36000</v>
      </c>
      <c r="AP379" t="s">
        <v>515</v>
      </c>
      <c r="AR379" t="s">
        <v>516</v>
      </c>
    </row>
    <row r="380" spans="1:47" x14ac:dyDescent="0.25">
      <c r="A380" s="1">
        <v>2743310</v>
      </c>
      <c r="B380" t="s">
        <v>210</v>
      </c>
      <c r="C380">
        <v>540</v>
      </c>
      <c r="D380" t="s">
        <v>1</v>
      </c>
      <c r="E380" s="2">
        <v>46304</v>
      </c>
      <c r="F380" s="2">
        <v>46304</v>
      </c>
      <c r="G380" s="3">
        <v>12</v>
      </c>
      <c r="H380" t="s">
        <v>20</v>
      </c>
      <c r="I380" s="3">
        <v>0</v>
      </c>
      <c r="J380" t="s">
        <v>211</v>
      </c>
      <c r="K380" t="s">
        <v>4</v>
      </c>
      <c r="L380" t="s">
        <v>108</v>
      </c>
      <c r="M380" t="s">
        <v>6</v>
      </c>
      <c r="N380" t="s">
        <v>7</v>
      </c>
      <c r="O380" t="s">
        <v>212</v>
      </c>
      <c r="Q380" t="b">
        <f t="shared" si="75"/>
        <v>1</v>
      </c>
      <c r="R380" t="b">
        <f t="shared" si="76"/>
        <v>1</v>
      </c>
      <c r="S380" t="b">
        <f t="shared" si="77"/>
        <v>1</v>
      </c>
      <c r="T380" t="b">
        <f t="shared" si="78"/>
        <v>1</v>
      </c>
      <c r="U380" t="b">
        <f t="shared" si="79"/>
        <v>1</v>
      </c>
      <c r="V380" t="b">
        <f t="shared" si="80"/>
        <v>1</v>
      </c>
      <c r="W380" t="b">
        <f t="shared" si="81"/>
        <v>1</v>
      </c>
      <c r="X380" t="b">
        <f t="shared" si="82"/>
        <v>1</v>
      </c>
      <c r="Y380" t="b">
        <f t="shared" si="83"/>
        <v>1</v>
      </c>
      <c r="Z380" t="b">
        <f t="shared" si="84"/>
        <v>1</v>
      </c>
      <c r="AA380" t="b">
        <f t="shared" si="85"/>
        <v>1</v>
      </c>
      <c r="AB380" t="b">
        <f t="shared" si="86"/>
        <v>1</v>
      </c>
      <c r="AC380" t="b">
        <f t="shared" si="87"/>
        <v>1</v>
      </c>
      <c r="AD380" t="b">
        <f t="shared" si="88"/>
        <v>1</v>
      </c>
      <c r="AE380" t="b">
        <f t="shared" si="89"/>
        <v>1</v>
      </c>
      <c r="AG380" s="1">
        <v>2743310</v>
      </c>
      <c r="AH380" t="s">
        <v>691</v>
      </c>
      <c r="AI380">
        <v>540</v>
      </c>
      <c r="AJ380" t="s">
        <v>503</v>
      </c>
      <c r="AK380" s="2">
        <v>46304</v>
      </c>
      <c r="AL380" s="2">
        <v>46304</v>
      </c>
      <c r="AM380" s="3">
        <v>12</v>
      </c>
      <c r="AN380" t="s">
        <v>20</v>
      </c>
      <c r="AO380" s="3">
        <v>0</v>
      </c>
      <c r="AP380" t="s">
        <v>692</v>
      </c>
      <c r="AR380" t="s">
        <v>595</v>
      </c>
      <c r="AU380" t="s">
        <v>693</v>
      </c>
    </row>
    <row r="381" spans="1:47" x14ac:dyDescent="0.25">
      <c r="A381" s="1">
        <v>2691877</v>
      </c>
      <c r="B381" t="s">
        <v>93</v>
      </c>
      <c r="C381">
        <v>540</v>
      </c>
      <c r="D381" t="s">
        <v>1</v>
      </c>
      <c r="E381" s="2">
        <v>46307</v>
      </c>
      <c r="F381" s="2">
        <v>46307</v>
      </c>
      <c r="G381" s="3">
        <v>20</v>
      </c>
      <c r="H381" t="s">
        <v>20</v>
      </c>
      <c r="I381" s="3">
        <v>9000</v>
      </c>
      <c r="J381" t="s">
        <v>107</v>
      </c>
      <c r="K381" t="s">
        <v>4</v>
      </c>
      <c r="L381" t="s">
        <v>37</v>
      </c>
      <c r="M381" t="s">
        <v>6</v>
      </c>
      <c r="N381" t="s">
        <v>7</v>
      </c>
      <c r="O381" t="s">
        <v>7</v>
      </c>
      <c r="Q381" t="b">
        <f t="shared" si="75"/>
        <v>1</v>
      </c>
      <c r="R381" t="b">
        <f t="shared" si="76"/>
        <v>1</v>
      </c>
      <c r="S381" t="b">
        <f t="shared" si="77"/>
        <v>1</v>
      </c>
      <c r="T381" t="b">
        <f t="shared" si="78"/>
        <v>1</v>
      </c>
      <c r="U381" t="b">
        <f t="shared" si="79"/>
        <v>1</v>
      </c>
      <c r="V381" t="b">
        <f t="shared" si="80"/>
        <v>1</v>
      </c>
      <c r="W381" t="b">
        <f t="shared" si="81"/>
        <v>1</v>
      </c>
      <c r="X381" t="b">
        <f t="shared" si="82"/>
        <v>1</v>
      </c>
      <c r="Y381" t="b">
        <f t="shared" si="83"/>
        <v>1</v>
      </c>
      <c r="Z381" t="b">
        <f t="shared" si="84"/>
        <v>1</v>
      </c>
      <c r="AA381" t="b">
        <f t="shared" si="85"/>
        <v>1</v>
      </c>
      <c r="AB381" t="b">
        <f t="shared" si="86"/>
        <v>1</v>
      </c>
      <c r="AC381" t="b">
        <f t="shared" si="87"/>
        <v>1</v>
      </c>
      <c r="AD381" t="b">
        <f t="shared" si="88"/>
        <v>1</v>
      </c>
      <c r="AE381" t="b">
        <f t="shared" si="89"/>
        <v>1</v>
      </c>
      <c r="AG381" s="1">
        <v>2691877</v>
      </c>
      <c r="AH381" t="s">
        <v>580</v>
      </c>
      <c r="AI381">
        <v>540</v>
      </c>
      <c r="AJ381" t="s">
        <v>503</v>
      </c>
      <c r="AK381" s="2">
        <v>46307</v>
      </c>
      <c r="AL381" s="2">
        <v>46307</v>
      </c>
      <c r="AM381" s="3">
        <v>20</v>
      </c>
      <c r="AN381" t="s">
        <v>20</v>
      </c>
      <c r="AO381" s="3">
        <v>9000</v>
      </c>
      <c r="AP381" t="s">
        <v>594</v>
      </c>
      <c r="AR381" t="s">
        <v>528</v>
      </c>
    </row>
    <row r="382" spans="1:47" x14ac:dyDescent="0.25">
      <c r="A382" s="1">
        <v>2722450</v>
      </c>
      <c r="B382" t="s">
        <v>287</v>
      </c>
      <c r="C382">
        <v>540</v>
      </c>
      <c r="D382" t="s">
        <v>1</v>
      </c>
      <c r="E382" s="2">
        <v>46307</v>
      </c>
      <c r="F382" s="2">
        <v>46307</v>
      </c>
      <c r="G382" s="3">
        <v>12</v>
      </c>
      <c r="H382" t="s">
        <v>20</v>
      </c>
      <c r="I382" s="3">
        <v>5400</v>
      </c>
      <c r="J382" t="s">
        <v>105</v>
      </c>
      <c r="K382" t="s">
        <v>4</v>
      </c>
      <c r="L382" t="s">
        <v>30</v>
      </c>
      <c r="M382" t="s">
        <v>6</v>
      </c>
      <c r="N382" t="s">
        <v>231</v>
      </c>
      <c r="O382" t="s">
        <v>7</v>
      </c>
      <c r="Q382" t="b">
        <f t="shared" si="75"/>
        <v>1</v>
      </c>
      <c r="R382" t="b">
        <f t="shared" si="76"/>
        <v>1</v>
      </c>
      <c r="S382" t="b">
        <f t="shared" si="77"/>
        <v>1</v>
      </c>
      <c r="T382" t="b">
        <f t="shared" si="78"/>
        <v>1</v>
      </c>
      <c r="U382" t="b">
        <f t="shared" si="79"/>
        <v>1</v>
      </c>
      <c r="V382" t="b">
        <f t="shared" si="80"/>
        <v>1</v>
      </c>
      <c r="W382" t="b">
        <f t="shared" si="81"/>
        <v>1</v>
      </c>
      <c r="X382" t="b">
        <f t="shared" si="82"/>
        <v>1</v>
      </c>
      <c r="Y382" t="b">
        <f t="shared" si="83"/>
        <v>1</v>
      </c>
      <c r="Z382" t="b">
        <f t="shared" si="84"/>
        <v>1</v>
      </c>
      <c r="AA382" t="b">
        <f t="shared" si="85"/>
        <v>1</v>
      </c>
      <c r="AB382" t="b">
        <f t="shared" si="86"/>
        <v>1</v>
      </c>
      <c r="AC382" t="b">
        <f t="shared" si="87"/>
        <v>1</v>
      </c>
      <c r="AD382" t="b">
        <f t="shared" si="88"/>
        <v>1</v>
      </c>
      <c r="AE382" t="b">
        <f t="shared" si="89"/>
        <v>1</v>
      </c>
      <c r="AG382" s="1">
        <v>2722450</v>
      </c>
      <c r="AH382" t="s">
        <v>763</v>
      </c>
      <c r="AI382">
        <v>540</v>
      </c>
      <c r="AJ382" t="s">
        <v>503</v>
      </c>
      <c r="AK382" s="2">
        <v>46307</v>
      </c>
      <c r="AL382" s="2">
        <v>46307</v>
      </c>
      <c r="AM382" s="3">
        <v>12</v>
      </c>
      <c r="AN382" t="s">
        <v>20</v>
      </c>
      <c r="AO382" s="3">
        <v>5400</v>
      </c>
      <c r="AP382" t="s">
        <v>592</v>
      </c>
      <c r="AR382" t="s">
        <v>521</v>
      </c>
      <c r="AT382" t="s">
        <v>710</v>
      </c>
    </row>
    <row r="383" spans="1:47" x14ac:dyDescent="0.25">
      <c r="A383" s="1">
        <v>2727625</v>
      </c>
      <c r="B383" t="s">
        <v>287</v>
      </c>
      <c r="C383">
        <v>540</v>
      </c>
      <c r="D383" t="s">
        <v>1</v>
      </c>
      <c r="E383" s="2">
        <v>46308</v>
      </c>
      <c r="F383" s="2">
        <v>46308</v>
      </c>
      <c r="G383" s="3">
        <v>2</v>
      </c>
      <c r="H383" t="s">
        <v>11</v>
      </c>
      <c r="I383" s="3">
        <v>5400</v>
      </c>
      <c r="J383" t="s">
        <v>230</v>
      </c>
      <c r="K383" t="s">
        <v>4</v>
      </c>
      <c r="L383" t="s">
        <v>30</v>
      </c>
      <c r="M383" t="s">
        <v>6</v>
      </c>
      <c r="N383" t="s">
        <v>231</v>
      </c>
      <c r="O383" t="s">
        <v>7</v>
      </c>
      <c r="Q383" t="b">
        <f t="shared" si="75"/>
        <v>1</v>
      </c>
      <c r="R383" t="b">
        <f t="shared" si="76"/>
        <v>1</v>
      </c>
      <c r="S383" t="b">
        <f t="shared" si="77"/>
        <v>1</v>
      </c>
      <c r="T383" t="b">
        <f t="shared" si="78"/>
        <v>1</v>
      </c>
      <c r="U383" t="b">
        <f t="shared" si="79"/>
        <v>1</v>
      </c>
      <c r="V383" t="b">
        <f t="shared" si="80"/>
        <v>1</v>
      </c>
      <c r="W383" t="b">
        <f t="shared" si="81"/>
        <v>1</v>
      </c>
      <c r="X383" t="b">
        <f t="shared" si="82"/>
        <v>1</v>
      </c>
      <c r="Y383" t="b">
        <f t="shared" si="83"/>
        <v>1</v>
      </c>
      <c r="Z383" t="b">
        <f t="shared" si="84"/>
        <v>1</v>
      </c>
      <c r="AA383" t="b">
        <f t="shared" si="85"/>
        <v>1</v>
      </c>
      <c r="AB383" t="b">
        <f t="shared" si="86"/>
        <v>1</v>
      </c>
      <c r="AC383" t="b">
        <f t="shared" si="87"/>
        <v>1</v>
      </c>
      <c r="AD383" t="b">
        <f t="shared" si="88"/>
        <v>1</v>
      </c>
      <c r="AE383" t="b">
        <f t="shared" si="89"/>
        <v>1</v>
      </c>
      <c r="AG383" s="1">
        <v>2727625</v>
      </c>
      <c r="AH383" t="s">
        <v>763</v>
      </c>
      <c r="AI383">
        <v>540</v>
      </c>
      <c r="AJ383" t="s">
        <v>503</v>
      </c>
      <c r="AK383" s="2">
        <v>46308</v>
      </c>
      <c r="AL383" s="2">
        <v>46308</v>
      </c>
      <c r="AM383" s="3">
        <v>2</v>
      </c>
      <c r="AN383" t="s">
        <v>11</v>
      </c>
      <c r="AO383" s="3">
        <v>5400</v>
      </c>
      <c r="AP383" t="s">
        <v>709</v>
      </c>
      <c r="AR383" t="s">
        <v>521</v>
      </c>
      <c r="AT383" t="s">
        <v>710</v>
      </c>
    </row>
    <row r="384" spans="1:47" x14ac:dyDescent="0.25">
      <c r="A384" s="1">
        <v>2733553</v>
      </c>
      <c r="B384" t="s">
        <v>26</v>
      </c>
      <c r="C384">
        <v>540</v>
      </c>
      <c r="D384" t="s">
        <v>1</v>
      </c>
      <c r="E384" s="2">
        <v>46237</v>
      </c>
      <c r="F384" s="2">
        <v>46309</v>
      </c>
      <c r="G384" s="3">
        <v>7</v>
      </c>
      <c r="H384" t="s">
        <v>27</v>
      </c>
      <c r="I384" s="3">
        <v>0</v>
      </c>
      <c r="J384" t="s">
        <v>28</v>
      </c>
      <c r="K384" t="s">
        <v>29</v>
      </c>
      <c r="L384" t="s">
        <v>30</v>
      </c>
      <c r="M384" t="s">
        <v>6</v>
      </c>
      <c r="N384" t="s">
        <v>7</v>
      </c>
      <c r="O384" t="s">
        <v>31</v>
      </c>
      <c r="Q384" t="b">
        <f t="shared" si="75"/>
        <v>1</v>
      </c>
      <c r="R384" t="b">
        <f t="shared" si="76"/>
        <v>1</v>
      </c>
      <c r="S384" t="b">
        <f t="shared" si="77"/>
        <v>1</v>
      </c>
      <c r="T384" t="b">
        <f t="shared" si="78"/>
        <v>1</v>
      </c>
      <c r="U384" t="b">
        <f t="shared" si="79"/>
        <v>1</v>
      </c>
      <c r="V384" t="b">
        <f t="shared" si="80"/>
        <v>1</v>
      </c>
      <c r="W384" t="b">
        <f t="shared" si="81"/>
        <v>1</v>
      </c>
      <c r="X384" t="b">
        <f t="shared" si="82"/>
        <v>1</v>
      </c>
      <c r="Y384" t="b">
        <f t="shared" si="83"/>
        <v>1</v>
      </c>
      <c r="Z384" t="b">
        <f t="shared" si="84"/>
        <v>1</v>
      </c>
      <c r="AA384" t="b">
        <f t="shared" si="85"/>
        <v>1</v>
      </c>
      <c r="AB384" t="b">
        <f t="shared" si="86"/>
        <v>1</v>
      </c>
      <c r="AC384" t="b">
        <f t="shared" si="87"/>
        <v>1</v>
      </c>
      <c r="AD384" t="b">
        <f t="shared" si="88"/>
        <v>1</v>
      </c>
      <c r="AE384" t="b">
        <f t="shared" si="89"/>
        <v>1</v>
      </c>
      <c r="AG384" s="1">
        <v>2733553</v>
      </c>
      <c r="AH384" t="s">
        <v>519</v>
      </c>
      <c r="AI384">
        <v>540</v>
      </c>
      <c r="AJ384" t="s">
        <v>503</v>
      </c>
      <c r="AK384" s="2">
        <v>46237</v>
      </c>
      <c r="AL384" s="2">
        <v>46309</v>
      </c>
      <c r="AM384" s="3">
        <v>7</v>
      </c>
      <c r="AN384" t="s">
        <v>27</v>
      </c>
      <c r="AO384" s="3">
        <v>0</v>
      </c>
      <c r="AP384" t="s">
        <v>520</v>
      </c>
      <c r="AQ384" t="s">
        <v>29</v>
      </c>
      <c r="AR384" t="s">
        <v>521</v>
      </c>
      <c r="AU384" t="s">
        <v>522</v>
      </c>
    </row>
    <row r="385" spans="1:47" x14ac:dyDescent="0.25">
      <c r="A385" s="1">
        <v>2739688</v>
      </c>
      <c r="B385" t="s">
        <v>163</v>
      </c>
      <c r="C385">
        <v>540</v>
      </c>
      <c r="D385" t="s">
        <v>1</v>
      </c>
      <c r="E385" s="2">
        <v>46309</v>
      </c>
      <c r="F385" s="2">
        <v>46309</v>
      </c>
      <c r="G385" s="3">
        <v>80</v>
      </c>
      <c r="H385" t="s">
        <v>20</v>
      </c>
      <c r="I385" s="3">
        <v>36000</v>
      </c>
      <c r="J385" t="s">
        <v>337</v>
      </c>
      <c r="K385" t="s">
        <v>4</v>
      </c>
      <c r="L385" t="s">
        <v>108</v>
      </c>
      <c r="M385" t="s">
        <v>6</v>
      </c>
      <c r="N385" t="s">
        <v>165</v>
      </c>
      <c r="O385" t="s">
        <v>7</v>
      </c>
      <c r="Q385" t="b">
        <f t="shared" si="75"/>
        <v>1</v>
      </c>
      <c r="R385" t="b">
        <f t="shared" si="76"/>
        <v>1</v>
      </c>
      <c r="S385" t="b">
        <f t="shared" si="77"/>
        <v>1</v>
      </c>
      <c r="T385" t="b">
        <f t="shared" si="78"/>
        <v>1</v>
      </c>
      <c r="U385" t="b">
        <f t="shared" si="79"/>
        <v>1</v>
      </c>
      <c r="V385" t="b">
        <f t="shared" si="80"/>
        <v>1</v>
      </c>
      <c r="W385" t="b">
        <f t="shared" si="81"/>
        <v>1</v>
      </c>
      <c r="X385" t="b">
        <f t="shared" si="82"/>
        <v>1</v>
      </c>
      <c r="Y385" t="b">
        <f t="shared" si="83"/>
        <v>1</v>
      </c>
      <c r="Z385" t="b">
        <f t="shared" si="84"/>
        <v>1</v>
      </c>
      <c r="AA385" t="b">
        <f t="shared" si="85"/>
        <v>1</v>
      </c>
      <c r="AB385" t="b">
        <f t="shared" si="86"/>
        <v>1</v>
      </c>
      <c r="AC385" t="b">
        <f t="shared" si="87"/>
        <v>1</v>
      </c>
      <c r="AD385" t="b">
        <f t="shared" si="88"/>
        <v>1</v>
      </c>
      <c r="AE385" t="b">
        <f t="shared" si="89"/>
        <v>1</v>
      </c>
      <c r="AG385" s="1">
        <v>2739688</v>
      </c>
      <c r="AH385" t="s">
        <v>646</v>
      </c>
      <c r="AI385">
        <v>540</v>
      </c>
      <c r="AJ385" t="s">
        <v>503</v>
      </c>
      <c r="AK385" s="2">
        <v>46309</v>
      </c>
      <c r="AL385" s="2">
        <v>46309</v>
      </c>
      <c r="AM385" s="3">
        <v>80</v>
      </c>
      <c r="AN385" t="s">
        <v>20</v>
      </c>
      <c r="AO385" s="3">
        <v>36000</v>
      </c>
      <c r="AP385" t="s">
        <v>808</v>
      </c>
      <c r="AR385" t="s">
        <v>595</v>
      </c>
      <c r="AT385" t="s">
        <v>648</v>
      </c>
    </row>
    <row r="386" spans="1:47" x14ac:dyDescent="0.25">
      <c r="A386" s="1">
        <v>2744072</v>
      </c>
      <c r="B386" t="s">
        <v>288</v>
      </c>
      <c r="C386">
        <v>525</v>
      </c>
      <c r="D386" t="s">
        <v>1</v>
      </c>
      <c r="E386" s="2">
        <v>46231</v>
      </c>
      <c r="F386" s="2">
        <v>46310</v>
      </c>
      <c r="G386" s="3">
        <v>10</v>
      </c>
      <c r="H386" t="s">
        <v>11</v>
      </c>
      <c r="I386" s="3">
        <v>0</v>
      </c>
      <c r="J386" t="s">
        <v>289</v>
      </c>
      <c r="K386" t="s">
        <v>290</v>
      </c>
      <c r="L386" t="s">
        <v>22</v>
      </c>
      <c r="M386" t="s">
        <v>6</v>
      </c>
      <c r="N386" t="s">
        <v>7</v>
      </c>
      <c r="O386" t="s">
        <v>7</v>
      </c>
      <c r="Q386" t="b">
        <f t="shared" si="75"/>
        <v>1</v>
      </c>
      <c r="R386" t="b">
        <f t="shared" si="76"/>
        <v>1</v>
      </c>
      <c r="S386" t="b">
        <f t="shared" si="77"/>
        <v>1</v>
      </c>
      <c r="T386" t="b">
        <f t="shared" si="78"/>
        <v>1</v>
      </c>
      <c r="U386" t="b">
        <f t="shared" si="79"/>
        <v>1</v>
      </c>
      <c r="V386" t="b">
        <f t="shared" si="80"/>
        <v>1</v>
      </c>
      <c r="W386" t="b">
        <f t="shared" si="81"/>
        <v>1</v>
      </c>
      <c r="X386" t="b">
        <f t="shared" si="82"/>
        <v>1</v>
      </c>
      <c r="Y386" t="b">
        <f t="shared" si="83"/>
        <v>1</v>
      </c>
      <c r="Z386" t="b">
        <f t="shared" si="84"/>
        <v>1</v>
      </c>
      <c r="AA386" t="b">
        <f t="shared" si="85"/>
        <v>1</v>
      </c>
      <c r="AB386" t="b">
        <f t="shared" si="86"/>
        <v>1</v>
      </c>
      <c r="AC386" t="b">
        <f t="shared" si="87"/>
        <v>1</v>
      </c>
      <c r="AD386" t="b">
        <f t="shared" si="88"/>
        <v>1</v>
      </c>
      <c r="AE386" t="b">
        <f t="shared" si="89"/>
        <v>1</v>
      </c>
      <c r="AG386" s="1">
        <v>2744072</v>
      </c>
      <c r="AH386" t="s">
        <v>288</v>
      </c>
      <c r="AI386">
        <v>525</v>
      </c>
      <c r="AJ386" t="s">
        <v>503</v>
      </c>
      <c r="AK386" s="2">
        <v>46231</v>
      </c>
      <c r="AL386" s="2">
        <v>46310</v>
      </c>
      <c r="AM386" s="3">
        <v>10</v>
      </c>
      <c r="AN386" t="s">
        <v>11</v>
      </c>
      <c r="AO386" s="3">
        <v>0</v>
      </c>
      <c r="AP386" t="s">
        <v>764</v>
      </c>
      <c r="AQ386" t="s">
        <v>290</v>
      </c>
      <c r="AR386" t="s">
        <v>516</v>
      </c>
    </row>
    <row r="387" spans="1:47" x14ac:dyDescent="0.25">
      <c r="A387" s="1">
        <v>2663081</v>
      </c>
      <c r="B387" t="s">
        <v>453</v>
      </c>
      <c r="C387">
        <v>540</v>
      </c>
      <c r="D387" t="s">
        <v>1</v>
      </c>
      <c r="E387" s="2">
        <v>46316</v>
      </c>
      <c r="F387" s="2">
        <v>46316</v>
      </c>
      <c r="G387" s="3">
        <v>52</v>
      </c>
      <c r="H387" t="s">
        <v>454</v>
      </c>
      <c r="I387" s="3">
        <v>35932</v>
      </c>
      <c r="J387" t="s">
        <v>455</v>
      </c>
      <c r="K387" t="s">
        <v>4</v>
      </c>
      <c r="L387" t="s">
        <v>22</v>
      </c>
      <c r="M387" t="s">
        <v>6</v>
      </c>
      <c r="N387" t="s">
        <v>7</v>
      </c>
      <c r="O387" t="s">
        <v>7</v>
      </c>
      <c r="Q387" t="b">
        <f t="shared" si="75"/>
        <v>1</v>
      </c>
      <c r="R387" t="b">
        <f t="shared" si="76"/>
        <v>1</v>
      </c>
      <c r="S387" t="b">
        <f t="shared" si="77"/>
        <v>1</v>
      </c>
      <c r="T387" t="b">
        <f t="shared" si="78"/>
        <v>1</v>
      </c>
      <c r="U387" t="b">
        <f t="shared" si="79"/>
        <v>1</v>
      </c>
      <c r="V387" t="b">
        <f t="shared" si="80"/>
        <v>1</v>
      </c>
      <c r="W387" t="b">
        <f t="shared" si="81"/>
        <v>1</v>
      </c>
      <c r="X387" t="b">
        <f t="shared" si="82"/>
        <v>1</v>
      </c>
      <c r="Y387" t="b">
        <f t="shared" si="83"/>
        <v>1</v>
      </c>
      <c r="Z387" t="b">
        <f t="shared" si="84"/>
        <v>1</v>
      </c>
      <c r="AA387" t="b">
        <f t="shared" si="85"/>
        <v>1</v>
      </c>
      <c r="AB387" t="b">
        <f t="shared" si="86"/>
        <v>1</v>
      </c>
      <c r="AC387" t="b">
        <f t="shared" si="87"/>
        <v>1</v>
      </c>
      <c r="AD387" t="b">
        <f t="shared" si="88"/>
        <v>1</v>
      </c>
      <c r="AE387" t="b">
        <f t="shared" si="89"/>
        <v>1</v>
      </c>
      <c r="AG387" s="1">
        <v>2663081</v>
      </c>
      <c r="AH387" t="s">
        <v>922</v>
      </c>
      <c r="AI387">
        <v>540</v>
      </c>
      <c r="AJ387" t="s">
        <v>503</v>
      </c>
      <c r="AK387" s="2">
        <v>46316</v>
      </c>
      <c r="AL387" s="2">
        <v>46316</v>
      </c>
      <c r="AM387" s="3">
        <v>52</v>
      </c>
      <c r="AN387" t="s">
        <v>454</v>
      </c>
      <c r="AO387" s="3">
        <v>35932</v>
      </c>
      <c r="AP387" t="s">
        <v>923</v>
      </c>
      <c r="AR387" t="s">
        <v>516</v>
      </c>
    </row>
    <row r="388" spans="1:47" x14ac:dyDescent="0.25">
      <c r="A388" s="1">
        <v>2569180</v>
      </c>
      <c r="B388" t="s">
        <v>19</v>
      </c>
      <c r="C388">
        <v>540</v>
      </c>
      <c r="D388" t="s">
        <v>1</v>
      </c>
      <c r="E388" s="2">
        <v>46317</v>
      </c>
      <c r="F388" s="2">
        <v>46317</v>
      </c>
      <c r="G388" s="3">
        <v>80</v>
      </c>
      <c r="H388" t="s">
        <v>20</v>
      </c>
      <c r="I388" s="3">
        <v>36000</v>
      </c>
      <c r="J388" t="s">
        <v>21</v>
      </c>
      <c r="K388" t="s">
        <v>4</v>
      </c>
      <c r="L388" t="s">
        <v>22</v>
      </c>
      <c r="M388" t="s">
        <v>6</v>
      </c>
      <c r="N388" t="s">
        <v>7</v>
      </c>
      <c r="O388" t="s">
        <v>7</v>
      </c>
      <c r="Q388" t="b">
        <f t="shared" si="75"/>
        <v>1</v>
      </c>
      <c r="R388" t="b">
        <f t="shared" si="76"/>
        <v>1</v>
      </c>
      <c r="S388" t="b">
        <f t="shared" si="77"/>
        <v>1</v>
      </c>
      <c r="T388" t="b">
        <f t="shared" si="78"/>
        <v>1</v>
      </c>
      <c r="U388" t="b">
        <f t="shared" si="79"/>
        <v>1</v>
      </c>
      <c r="V388" t="b">
        <f t="shared" si="80"/>
        <v>1</v>
      </c>
      <c r="W388" t="b">
        <f t="shared" si="81"/>
        <v>1</v>
      </c>
      <c r="X388" t="b">
        <f t="shared" si="82"/>
        <v>1</v>
      </c>
      <c r="Y388" t="b">
        <f t="shared" si="83"/>
        <v>1</v>
      </c>
      <c r="Z388" t="b">
        <f t="shared" si="84"/>
        <v>1</v>
      </c>
      <c r="AA388" t="b">
        <f t="shared" si="85"/>
        <v>1</v>
      </c>
      <c r="AB388" t="b">
        <f t="shared" si="86"/>
        <v>1</v>
      </c>
      <c r="AC388" t="b">
        <f t="shared" si="87"/>
        <v>1</v>
      </c>
      <c r="AD388" t="b">
        <f t="shared" si="88"/>
        <v>1</v>
      </c>
      <c r="AE388" t="b">
        <f t="shared" si="89"/>
        <v>1</v>
      </c>
      <c r="AG388" s="1">
        <v>2569180</v>
      </c>
      <c r="AH388" t="s">
        <v>514</v>
      </c>
      <c r="AI388">
        <v>540</v>
      </c>
      <c r="AJ388" t="s">
        <v>503</v>
      </c>
      <c r="AK388" s="2">
        <v>46317</v>
      </c>
      <c r="AL388" s="2">
        <v>46317</v>
      </c>
      <c r="AM388" s="3">
        <v>80</v>
      </c>
      <c r="AN388" t="s">
        <v>20</v>
      </c>
      <c r="AO388" s="3">
        <v>36000</v>
      </c>
      <c r="AP388" t="s">
        <v>515</v>
      </c>
      <c r="AR388" t="s">
        <v>516</v>
      </c>
    </row>
    <row r="389" spans="1:47" x14ac:dyDescent="0.25">
      <c r="A389" s="1">
        <v>2733589</v>
      </c>
      <c r="B389" t="s">
        <v>494</v>
      </c>
      <c r="C389">
        <v>540</v>
      </c>
      <c r="D389" t="s">
        <v>1</v>
      </c>
      <c r="E389" s="2">
        <v>46317</v>
      </c>
      <c r="F389" s="2">
        <v>46317</v>
      </c>
      <c r="G389" s="3">
        <v>2</v>
      </c>
      <c r="H389" t="s">
        <v>20</v>
      </c>
      <c r="I389" s="3">
        <v>950</v>
      </c>
      <c r="J389" t="s">
        <v>85</v>
      </c>
      <c r="K389" t="s">
        <v>4</v>
      </c>
      <c r="L389" t="s">
        <v>37</v>
      </c>
      <c r="M389" t="s">
        <v>6</v>
      </c>
      <c r="N389" t="s">
        <v>7</v>
      </c>
      <c r="O389" t="s">
        <v>7</v>
      </c>
      <c r="Q389" t="b">
        <f t="shared" si="75"/>
        <v>1</v>
      </c>
      <c r="R389" t="b">
        <f t="shared" si="76"/>
        <v>1</v>
      </c>
      <c r="S389" t="b">
        <f t="shared" si="77"/>
        <v>1</v>
      </c>
      <c r="T389" t="b">
        <f t="shared" si="78"/>
        <v>1</v>
      </c>
      <c r="U389" t="b">
        <f t="shared" si="79"/>
        <v>1</v>
      </c>
      <c r="V389" t="b">
        <f t="shared" si="80"/>
        <v>1</v>
      </c>
      <c r="W389" t="b">
        <f t="shared" si="81"/>
        <v>1</v>
      </c>
      <c r="X389" t="b">
        <f t="shared" si="82"/>
        <v>1</v>
      </c>
      <c r="Y389" t="b">
        <f t="shared" si="83"/>
        <v>1</v>
      </c>
      <c r="Z389" t="b">
        <f t="shared" si="84"/>
        <v>1</v>
      </c>
      <c r="AA389" t="b">
        <f t="shared" si="85"/>
        <v>1</v>
      </c>
      <c r="AB389" t="b">
        <f t="shared" si="86"/>
        <v>1</v>
      </c>
      <c r="AC389" t="b">
        <f t="shared" si="87"/>
        <v>1</v>
      </c>
      <c r="AD389" t="b">
        <f t="shared" si="88"/>
        <v>1</v>
      </c>
      <c r="AE389" t="b">
        <f t="shared" si="89"/>
        <v>1</v>
      </c>
      <c r="AG389" s="1">
        <v>2733589</v>
      </c>
      <c r="AH389" t="s">
        <v>958</v>
      </c>
      <c r="AI389">
        <v>540</v>
      </c>
      <c r="AJ389" t="s">
        <v>503</v>
      </c>
      <c r="AK389" s="2">
        <v>46317</v>
      </c>
      <c r="AL389" s="2">
        <v>46317</v>
      </c>
      <c r="AM389" s="3">
        <v>2</v>
      </c>
      <c r="AN389" t="s">
        <v>20</v>
      </c>
      <c r="AO389" s="3">
        <v>950</v>
      </c>
      <c r="AP389" t="s">
        <v>572</v>
      </c>
      <c r="AR389" t="s">
        <v>528</v>
      </c>
    </row>
    <row r="390" spans="1:47" x14ac:dyDescent="0.25">
      <c r="A390" s="1">
        <v>2701895</v>
      </c>
      <c r="B390" t="s">
        <v>426</v>
      </c>
      <c r="C390">
        <v>540</v>
      </c>
      <c r="D390" t="s">
        <v>1</v>
      </c>
      <c r="E390" s="2">
        <v>46321</v>
      </c>
      <c r="F390" s="2">
        <v>46321</v>
      </c>
      <c r="G390" s="3">
        <v>15</v>
      </c>
      <c r="H390" t="s">
        <v>11</v>
      </c>
      <c r="I390" s="3">
        <v>39000</v>
      </c>
      <c r="J390" t="s">
        <v>427</v>
      </c>
      <c r="K390" t="s">
        <v>4</v>
      </c>
      <c r="L390" t="s">
        <v>22</v>
      </c>
      <c r="M390" t="s">
        <v>6</v>
      </c>
      <c r="N390" t="s">
        <v>7</v>
      </c>
      <c r="O390" t="s">
        <v>7</v>
      </c>
      <c r="Q390" t="b">
        <f t="shared" si="75"/>
        <v>1</v>
      </c>
      <c r="R390" t="b">
        <f t="shared" si="76"/>
        <v>1</v>
      </c>
      <c r="S390" t="b">
        <f t="shared" si="77"/>
        <v>1</v>
      </c>
      <c r="T390" t="b">
        <f t="shared" si="78"/>
        <v>1</v>
      </c>
      <c r="U390" t="b">
        <f t="shared" si="79"/>
        <v>1</v>
      </c>
      <c r="V390" t="b">
        <f t="shared" si="80"/>
        <v>1</v>
      </c>
      <c r="W390" t="b">
        <f t="shared" si="81"/>
        <v>1</v>
      </c>
      <c r="X390" t="b">
        <f t="shared" si="82"/>
        <v>1</v>
      </c>
      <c r="Y390" t="b">
        <f t="shared" si="83"/>
        <v>1</v>
      </c>
      <c r="Z390" t="b">
        <f t="shared" si="84"/>
        <v>1</v>
      </c>
      <c r="AA390" t="b">
        <f t="shared" si="85"/>
        <v>1</v>
      </c>
      <c r="AB390" t="b">
        <f t="shared" si="86"/>
        <v>1</v>
      </c>
      <c r="AC390" t="b">
        <f t="shared" si="87"/>
        <v>1</v>
      </c>
      <c r="AD390" t="b">
        <f t="shared" si="88"/>
        <v>1</v>
      </c>
      <c r="AE390" t="b">
        <f t="shared" si="89"/>
        <v>1</v>
      </c>
      <c r="AG390" s="1">
        <v>2701895</v>
      </c>
      <c r="AH390" t="s">
        <v>896</v>
      </c>
      <c r="AI390">
        <v>540</v>
      </c>
      <c r="AJ390" t="s">
        <v>503</v>
      </c>
      <c r="AK390" s="2">
        <v>46321</v>
      </c>
      <c r="AL390" s="2">
        <v>46321</v>
      </c>
      <c r="AM390" s="3">
        <v>15</v>
      </c>
      <c r="AN390" t="s">
        <v>11</v>
      </c>
      <c r="AO390" s="3">
        <v>39000</v>
      </c>
      <c r="AP390" t="s">
        <v>897</v>
      </c>
      <c r="AR390" t="s">
        <v>516</v>
      </c>
    </row>
    <row r="391" spans="1:47" x14ac:dyDescent="0.25">
      <c r="A391" s="1">
        <v>2722451</v>
      </c>
      <c r="B391" t="s">
        <v>287</v>
      </c>
      <c r="C391">
        <v>540</v>
      </c>
      <c r="D391" t="s">
        <v>1</v>
      </c>
      <c r="E391" s="2">
        <v>46321</v>
      </c>
      <c r="F391" s="2">
        <v>46321</v>
      </c>
      <c r="G391" s="3">
        <v>12</v>
      </c>
      <c r="H391" t="s">
        <v>20</v>
      </c>
      <c r="I391" s="3">
        <v>5400</v>
      </c>
      <c r="J391" t="s">
        <v>105</v>
      </c>
      <c r="K391" t="s">
        <v>4</v>
      </c>
      <c r="L391" t="s">
        <v>30</v>
      </c>
      <c r="M391" t="s">
        <v>6</v>
      </c>
      <c r="N391" t="s">
        <v>231</v>
      </c>
      <c r="O391" t="s">
        <v>7</v>
      </c>
      <c r="Q391" t="b">
        <f t="shared" si="75"/>
        <v>1</v>
      </c>
      <c r="R391" t="b">
        <f t="shared" si="76"/>
        <v>1</v>
      </c>
      <c r="S391" t="b">
        <f t="shared" si="77"/>
        <v>1</v>
      </c>
      <c r="T391" t="b">
        <f t="shared" si="78"/>
        <v>1</v>
      </c>
      <c r="U391" t="b">
        <f t="shared" si="79"/>
        <v>1</v>
      </c>
      <c r="V391" t="b">
        <f t="shared" si="80"/>
        <v>1</v>
      </c>
      <c r="W391" t="b">
        <f t="shared" si="81"/>
        <v>1</v>
      </c>
      <c r="X391" t="b">
        <f t="shared" si="82"/>
        <v>1</v>
      </c>
      <c r="Y391" t="b">
        <f t="shared" si="83"/>
        <v>1</v>
      </c>
      <c r="Z391" t="b">
        <f t="shared" si="84"/>
        <v>1</v>
      </c>
      <c r="AA391" t="b">
        <f t="shared" si="85"/>
        <v>1</v>
      </c>
      <c r="AB391" t="b">
        <f t="shared" si="86"/>
        <v>1</v>
      </c>
      <c r="AC391" t="b">
        <f t="shared" si="87"/>
        <v>1</v>
      </c>
      <c r="AD391" t="b">
        <f t="shared" si="88"/>
        <v>1</v>
      </c>
      <c r="AE391" t="b">
        <f t="shared" si="89"/>
        <v>1</v>
      </c>
      <c r="AG391" s="1">
        <v>2722451</v>
      </c>
      <c r="AH391" t="s">
        <v>763</v>
      </c>
      <c r="AI391">
        <v>540</v>
      </c>
      <c r="AJ391" t="s">
        <v>503</v>
      </c>
      <c r="AK391" s="2">
        <v>46321</v>
      </c>
      <c r="AL391" s="2">
        <v>46321</v>
      </c>
      <c r="AM391" s="3">
        <v>12</v>
      </c>
      <c r="AN391" t="s">
        <v>20</v>
      </c>
      <c r="AO391" s="3">
        <v>5400</v>
      </c>
      <c r="AP391" t="s">
        <v>592</v>
      </c>
      <c r="AR391" t="s">
        <v>521</v>
      </c>
      <c r="AT391" t="s">
        <v>710</v>
      </c>
    </row>
    <row r="392" spans="1:47" x14ac:dyDescent="0.25">
      <c r="A392" s="1">
        <v>2727623</v>
      </c>
      <c r="B392" t="s">
        <v>287</v>
      </c>
      <c r="C392">
        <v>540</v>
      </c>
      <c r="D392" t="s">
        <v>1</v>
      </c>
      <c r="E392" s="2">
        <v>46322</v>
      </c>
      <c r="F392" s="2">
        <v>46322</v>
      </c>
      <c r="G392" s="3">
        <v>2</v>
      </c>
      <c r="H392" t="s">
        <v>11</v>
      </c>
      <c r="I392" s="3">
        <v>5400</v>
      </c>
      <c r="J392" t="s">
        <v>230</v>
      </c>
      <c r="K392" t="s">
        <v>4</v>
      </c>
      <c r="L392" t="s">
        <v>30</v>
      </c>
      <c r="M392" t="s">
        <v>6</v>
      </c>
      <c r="N392" t="s">
        <v>231</v>
      </c>
      <c r="O392" t="s">
        <v>7</v>
      </c>
      <c r="Q392" t="b">
        <f t="shared" si="75"/>
        <v>1</v>
      </c>
      <c r="R392" t="b">
        <f t="shared" si="76"/>
        <v>1</v>
      </c>
      <c r="S392" t="b">
        <f t="shared" si="77"/>
        <v>1</v>
      </c>
      <c r="T392" t="b">
        <f t="shared" si="78"/>
        <v>1</v>
      </c>
      <c r="U392" t="b">
        <f t="shared" si="79"/>
        <v>1</v>
      </c>
      <c r="V392" t="b">
        <f t="shared" si="80"/>
        <v>1</v>
      </c>
      <c r="W392" t="b">
        <f t="shared" si="81"/>
        <v>1</v>
      </c>
      <c r="X392" t="b">
        <f t="shared" si="82"/>
        <v>1</v>
      </c>
      <c r="Y392" t="b">
        <f t="shared" si="83"/>
        <v>1</v>
      </c>
      <c r="Z392" t="b">
        <f t="shared" si="84"/>
        <v>1</v>
      </c>
      <c r="AA392" t="b">
        <f t="shared" si="85"/>
        <v>1</v>
      </c>
      <c r="AB392" t="b">
        <f t="shared" si="86"/>
        <v>1</v>
      </c>
      <c r="AC392" t="b">
        <f t="shared" si="87"/>
        <v>1</v>
      </c>
      <c r="AD392" t="b">
        <f t="shared" si="88"/>
        <v>1</v>
      </c>
      <c r="AE392" t="b">
        <f t="shared" si="89"/>
        <v>1</v>
      </c>
      <c r="AG392" s="1">
        <v>2727623</v>
      </c>
      <c r="AH392" t="s">
        <v>763</v>
      </c>
      <c r="AI392">
        <v>540</v>
      </c>
      <c r="AJ392" t="s">
        <v>503</v>
      </c>
      <c r="AK392" s="2">
        <v>46322</v>
      </c>
      <c r="AL392" s="2">
        <v>46322</v>
      </c>
      <c r="AM392" s="3">
        <v>2</v>
      </c>
      <c r="AN392" t="s">
        <v>11</v>
      </c>
      <c r="AO392" s="3">
        <v>5400</v>
      </c>
      <c r="AP392" t="s">
        <v>709</v>
      </c>
      <c r="AR392" t="s">
        <v>521</v>
      </c>
      <c r="AT392" t="s">
        <v>710</v>
      </c>
    </row>
    <row r="393" spans="1:47" x14ac:dyDescent="0.25">
      <c r="A393" s="1">
        <v>2724217</v>
      </c>
      <c r="B393" t="s">
        <v>428</v>
      </c>
      <c r="C393">
        <v>540</v>
      </c>
      <c r="D393" t="s">
        <v>1</v>
      </c>
      <c r="E393" s="2">
        <v>46324</v>
      </c>
      <c r="F393" s="2">
        <v>46324</v>
      </c>
      <c r="G393" s="3">
        <v>4</v>
      </c>
      <c r="H393" t="s">
        <v>20</v>
      </c>
      <c r="I393" s="3">
        <v>1764</v>
      </c>
      <c r="J393" t="s">
        <v>457</v>
      </c>
      <c r="K393" t="s">
        <v>4</v>
      </c>
      <c r="L393" t="s">
        <v>108</v>
      </c>
      <c r="M393" t="s">
        <v>6</v>
      </c>
      <c r="N393" t="s">
        <v>430</v>
      </c>
      <c r="O393" t="s">
        <v>7</v>
      </c>
      <c r="Q393" t="b">
        <f t="shared" si="75"/>
        <v>1</v>
      </c>
      <c r="R393" t="b">
        <f t="shared" si="76"/>
        <v>1</v>
      </c>
      <c r="S393" t="b">
        <f t="shared" si="77"/>
        <v>1</v>
      </c>
      <c r="T393" t="b">
        <f t="shared" si="78"/>
        <v>1</v>
      </c>
      <c r="U393" t="b">
        <f t="shared" si="79"/>
        <v>1</v>
      </c>
      <c r="V393" t="b">
        <f t="shared" si="80"/>
        <v>1</v>
      </c>
      <c r="W393" t="b">
        <f t="shared" si="81"/>
        <v>1</v>
      </c>
      <c r="X393" t="b">
        <f t="shared" si="82"/>
        <v>1</v>
      </c>
      <c r="Y393" t="b">
        <f t="shared" si="83"/>
        <v>1</v>
      </c>
      <c r="Z393" t="b">
        <f t="shared" si="84"/>
        <v>1</v>
      </c>
      <c r="AA393" t="b">
        <f t="shared" si="85"/>
        <v>1</v>
      </c>
      <c r="AB393" t="b">
        <f t="shared" si="86"/>
        <v>1</v>
      </c>
      <c r="AC393" t="b">
        <f t="shared" si="87"/>
        <v>1</v>
      </c>
      <c r="AD393" t="b">
        <f t="shared" si="88"/>
        <v>1</v>
      </c>
      <c r="AE393" t="b">
        <f t="shared" si="89"/>
        <v>1</v>
      </c>
      <c r="AG393" s="1">
        <v>2724217</v>
      </c>
      <c r="AH393" t="s">
        <v>898</v>
      </c>
      <c r="AI393">
        <v>540</v>
      </c>
      <c r="AJ393" t="s">
        <v>503</v>
      </c>
      <c r="AK393" s="2">
        <v>46324</v>
      </c>
      <c r="AL393" s="2">
        <v>46324</v>
      </c>
      <c r="AM393" s="3">
        <v>4</v>
      </c>
      <c r="AN393" t="s">
        <v>20</v>
      </c>
      <c r="AO393" s="3">
        <v>1764</v>
      </c>
      <c r="AP393" t="s">
        <v>925</v>
      </c>
      <c r="AR393" t="s">
        <v>595</v>
      </c>
      <c r="AT393" t="s">
        <v>900</v>
      </c>
    </row>
    <row r="394" spans="1:47" x14ac:dyDescent="0.25">
      <c r="A394" s="1">
        <v>2724217</v>
      </c>
      <c r="B394" t="s">
        <v>428</v>
      </c>
      <c r="C394">
        <v>540</v>
      </c>
      <c r="D394" t="s">
        <v>1</v>
      </c>
      <c r="E394" s="2">
        <v>46324</v>
      </c>
      <c r="F394" s="2">
        <v>46324</v>
      </c>
      <c r="G394" s="3">
        <v>3</v>
      </c>
      <c r="H394" t="s">
        <v>11</v>
      </c>
      <c r="I394" s="3">
        <v>6615</v>
      </c>
      <c r="J394" t="s">
        <v>346</v>
      </c>
      <c r="K394" t="s">
        <v>4</v>
      </c>
      <c r="L394" t="s">
        <v>108</v>
      </c>
      <c r="M394" t="s">
        <v>6</v>
      </c>
      <c r="N394" t="s">
        <v>430</v>
      </c>
      <c r="O394" t="s">
        <v>7</v>
      </c>
      <c r="Q394" t="b">
        <f t="shared" ref="Q394:Q407" si="90">IFERROR(ABS(A394-AG394)&lt;=0.001,EXACT(A394&amp;"",AG394&amp;""))</f>
        <v>1</v>
      </c>
      <c r="R394" t="b">
        <f t="shared" ref="R394:R407" si="91">EXACT(TRIM(B394&amp;""),TRIM(AH394&amp;""))</f>
        <v>1</v>
      </c>
      <c r="S394" t="b">
        <f t="shared" ref="S394:S407" si="92">EXACT(TRIM(C394&amp;""),TRIM(AI394&amp;""))</f>
        <v>1</v>
      </c>
      <c r="T394" t="b">
        <f t="shared" ref="T394:T407" si="93">EXACT(TRIM(D394&amp;""),TRIM(AJ394&amp;""))</f>
        <v>1</v>
      </c>
      <c r="U394" t="b">
        <f t="shared" ref="U394:U407" si="94">IFERROR(INT(E394)=INT(AK394),EXACT(E394&amp;"",AK394&amp;""))</f>
        <v>1</v>
      </c>
      <c r="V394" t="b">
        <f t="shared" ref="V394:V407" si="95">IFERROR(INT(F394)=INT(AL394),EXACT(F394&amp;"",AL394&amp;""))</f>
        <v>1</v>
      </c>
      <c r="W394" t="b">
        <f t="shared" ref="W394:W407" si="96">IFERROR(ROUND(G394,0)=ROUND(AM394,0),EXACT(G394&amp;"",AM394&amp;""))</f>
        <v>1</v>
      </c>
      <c r="X394" t="b">
        <f t="shared" ref="X394:X407" si="97">EXACT(TRIM(H394&amp;""),TRIM(AN394&amp;""))</f>
        <v>1</v>
      </c>
      <c r="Y394" t="b">
        <f t="shared" ref="Y394:Y407" si="98">IFERROR(ROUND(I394,0)=ROUND(AO394,0),EXACT(I394&amp;"",AO394&amp;""))</f>
        <v>1</v>
      </c>
      <c r="Z394" t="b">
        <f t="shared" ref="Z394:Z407" si="99">EXACT(TRIM(J394&amp;""),TRIM(AP394&amp;""))</f>
        <v>1</v>
      </c>
      <c r="AA394" t="b">
        <f t="shared" ref="AA394:AA407" si="100">EXACT(TRIM(K394&amp;""),TRIM(AQ394&amp;""))</f>
        <v>1</v>
      </c>
      <c r="AB394" t="b">
        <f t="shared" ref="AB394:AB407" si="101">EXACT(TRIM(L394&amp;""),TRIM(AR394&amp;""))</f>
        <v>1</v>
      </c>
      <c r="AC394" t="b">
        <f t="shared" ref="AC394:AC407" si="102">EXACT(TRIM(M394&amp;""),TRIM(AS394&amp;""))</f>
        <v>1</v>
      </c>
      <c r="AD394" t="b">
        <f t="shared" ref="AD394:AD407" si="103">EXACT(TRIM(N394&amp;""),TRIM(AT394&amp;""))</f>
        <v>1</v>
      </c>
      <c r="AE394" t="b">
        <f t="shared" ref="AE394:AE407" si="104">EXACT(TRIM(O394&amp;""),TRIM(AU394&amp;""))</f>
        <v>1</v>
      </c>
      <c r="AG394" s="1">
        <v>2724217</v>
      </c>
      <c r="AH394" t="s">
        <v>898</v>
      </c>
      <c r="AI394">
        <v>540</v>
      </c>
      <c r="AJ394" t="s">
        <v>503</v>
      </c>
      <c r="AK394" s="2">
        <v>46324</v>
      </c>
      <c r="AL394" s="2">
        <v>46324</v>
      </c>
      <c r="AM394" s="3">
        <v>3</v>
      </c>
      <c r="AN394" t="s">
        <v>11</v>
      </c>
      <c r="AO394" s="3">
        <v>6615</v>
      </c>
      <c r="AP394" t="s">
        <v>816</v>
      </c>
      <c r="AR394" t="s">
        <v>595</v>
      </c>
      <c r="AT394" t="s">
        <v>900</v>
      </c>
    </row>
    <row r="395" spans="1:47" x14ac:dyDescent="0.25">
      <c r="A395" s="1">
        <v>2569196</v>
      </c>
      <c r="B395" t="s">
        <v>19</v>
      </c>
      <c r="C395">
        <v>540</v>
      </c>
      <c r="D395" t="s">
        <v>1</v>
      </c>
      <c r="E395" s="2">
        <v>46331</v>
      </c>
      <c r="F395" s="2">
        <v>46331</v>
      </c>
      <c r="G395" s="3">
        <v>80</v>
      </c>
      <c r="H395" t="s">
        <v>20</v>
      </c>
      <c r="I395" s="3">
        <v>36000</v>
      </c>
      <c r="J395" t="s">
        <v>21</v>
      </c>
      <c r="K395" t="s">
        <v>4</v>
      </c>
      <c r="L395" t="s">
        <v>22</v>
      </c>
      <c r="M395" t="s">
        <v>6</v>
      </c>
      <c r="N395" t="s">
        <v>7</v>
      </c>
      <c r="O395" t="s">
        <v>7</v>
      </c>
      <c r="Q395" t="b">
        <f t="shared" si="90"/>
        <v>1</v>
      </c>
      <c r="R395" t="b">
        <f t="shared" si="91"/>
        <v>1</v>
      </c>
      <c r="S395" t="b">
        <f t="shared" si="92"/>
        <v>1</v>
      </c>
      <c r="T395" t="b">
        <f t="shared" si="93"/>
        <v>1</v>
      </c>
      <c r="U395" t="b">
        <f t="shared" si="94"/>
        <v>1</v>
      </c>
      <c r="V395" t="b">
        <f t="shared" si="95"/>
        <v>1</v>
      </c>
      <c r="W395" t="b">
        <f t="shared" si="96"/>
        <v>1</v>
      </c>
      <c r="X395" t="b">
        <f t="shared" si="97"/>
        <v>1</v>
      </c>
      <c r="Y395" t="b">
        <f t="shared" si="98"/>
        <v>1</v>
      </c>
      <c r="Z395" t="b">
        <f t="shared" si="99"/>
        <v>1</v>
      </c>
      <c r="AA395" t="b">
        <f t="shared" si="100"/>
        <v>1</v>
      </c>
      <c r="AB395" t="b">
        <f t="shared" si="101"/>
        <v>1</v>
      </c>
      <c r="AC395" t="b">
        <f t="shared" si="102"/>
        <v>1</v>
      </c>
      <c r="AD395" t="b">
        <f t="shared" si="103"/>
        <v>1</v>
      </c>
      <c r="AE395" t="b">
        <f t="shared" si="104"/>
        <v>1</v>
      </c>
      <c r="AG395" s="1">
        <v>2569196</v>
      </c>
      <c r="AH395" t="s">
        <v>514</v>
      </c>
      <c r="AI395">
        <v>540</v>
      </c>
      <c r="AJ395" t="s">
        <v>503</v>
      </c>
      <c r="AK395" s="2">
        <v>46331</v>
      </c>
      <c r="AL395" s="2">
        <v>46331</v>
      </c>
      <c r="AM395" s="3">
        <v>80</v>
      </c>
      <c r="AN395" t="s">
        <v>20</v>
      </c>
      <c r="AO395" s="3">
        <v>36000</v>
      </c>
      <c r="AP395" t="s">
        <v>515</v>
      </c>
      <c r="AR395" t="s">
        <v>516</v>
      </c>
    </row>
    <row r="396" spans="1:47" x14ac:dyDescent="0.25">
      <c r="A396" s="1">
        <v>2737269</v>
      </c>
      <c r="B396" t="s">
        <v>26</v>
      </c>
      <c r="C396">
        <v>540</v>
      </c>
      <c r="D396" t="s">
        <v>1</v>
      </c>
      <c r="E396" s="2">
        <v>46300</v>
      </c>
      <c r="F396" s="2">
        <v>46335</v>
      </c>
      <c r="G396" s="3">
        <v>4</v>
      </c>
      <c r="H396" t="s">
        <v>20</v>
      </c>
      <c r="I396" s="3">
        <v>1852</v>
      </c>
      <c r="J396" t="s">
        <v>495</v>
      </c>
      <c r="K396" t="s">
        <v>29</v>
      </c>
      <c r="L396" t="s">
        <v>30</v>
      </c>
      <c r="M396" t="s">
        <v>6</v>
      </c>
      <c r="N396" t="s">
        <v>7</v>
      </c>
      <c r="O396" t="s">
        <v>31</v>
      </c>
      <c r="Q396" t="b">
        <f t="shared" si="90"/>
        <v>1</v>
      </c>
      <c r="R396" t="b">
        <f t="shared" si="91"/>
        <v>1</v>
      </c>
      <c r="S396" t="b">
        <f t="shared" si="92"/>
        <v>1</v>
      </c>
      <c r="T396" t="b">
        <f t="shared" si="93"/>
        <v>1</v>
      </c>
      <c r="U396" t="b">
        <f t="shared" si="94"/>
        <v>1</v>
      </c>
      <c r="V396" t="b">
        <f t="shared" si="95"/>
        <v>1</v>
      </c>
      <c r="W396" t="b">
        <f t="shared" si="96"/>
        <v>1</v>
      </c>
      <c r="X396" t="b">
        <f t="shared" si="97"/>
        <v>1</v>
      </c>
      <c r="Y396" t="b">
        <f t="shared" si="98"/>
        <v>1</v>
      </c>
      <c r="Z396" t="b">
        <f t="shared" si="99"/>
        <v>1</v>
      </c>
      <c r="AA396" t="b">
        <f t="shared" si="100"/>
        <v>1</v>
      </c>
      <c r="AB396" t="b">
        <f t="shared" si="101"/>
        <v>1</v>
      </c>
      <c r="AC396" t="b">
        <f t="shared" si="102"/>
        <v>1</v>
      </c>
      <c r="AD396" t="b">
        <f t="shared" si="103"/>
        <v>1</v>
      </c>
      <c r="AE396" t="b">
        <f t="shared" si="104"/>
        <v>1</v>
      </c>
      <c r="AG396" s="1">
        <v>2737269</v>
      </c>
      <c r="AH396" t="s">
        <v>519</v>
      </c>
      <c r="AI396">
        <v>540</v>
      </c>
      <c r="AJ396" t="s">
        <v>503</v>
      </c>
      <c r="AK396" s="2">
        <v>46300</v>
      </c>
      <c r="AL396" s="2">
        <v>46335</v>
      </c>
      <c r="AM396" s="3">
        <v>4</v>
      </c>
      <c r="AN396" t="s">
        <v>20</v>
      </c>
      <c r="AO396" s="3">
        <v>1852</v>
      </c>
      <c r="AP396" t="s">
        <v>959</v>
      </c>
      <c r="AQ396" t="s">
        <v>29</v>
      </c>
      <c r="AR396" t="s">
        <v>521</v>
      </c>
      <c r="AU396" t="s">
        <v>522</v>
      </c>
    </row>
    <row r="397" spans="1:47" x14ac:dyDescent="0.25">
      <c r="A397" s="1">
        <v>2662945</v>
      </c>
      <c r="B397" t="s">
        <v>288</v>
      </c>
      <c r="C397">
        <v>540</v>
      </c>
      <c r="D397" t="s">
        <v>1</v>
      </c>
      <c r="E397" s="2">
        <v>46189</v>
      </c>
      <c r="F397" s="2">
        <v>46337</v>
      </c>
      <c r="G397" s="3">
        <v>18</v>
      </c>
      <c r="H397" t="s">
        <v>11</v>
      </c>
      <c r="I397" s="3">
        <v>0</v>
      </c>
      <c r="J397" t="s">
        <v>492</v>
      </c>
      <c r="K397" t="s">
        <v>290</v>
      </c>
      <c r="L397" t="s">
        <v>22</v>
      </c>
      <c r="M397" t="s">
        <v>23</v>
      </c>
      <c r="N397" t="s">
        <v>7</v>
      </c>
      <c r="O397" t="s">
        <v>7</v>
      </c>
      <c r="Q397" t="b">
        <f t="shared" si="90"/>
        <v>1</v>
      </c>
      <c r="R397" t="b">
        <f t="shared" si="91"/>
        <v>1</v>
      </c>
      <c r="S397" t="b">
        <f t="shared" si="92"/>
        <v>1</v>
      </c>
      <c r="T397" t="b">
        <f t="shared" si="93"/>
        <v>1</v>
      </c>
      <c r="U397" t="b">
        <f t="shared" si="94"/>
        <v>1</v>
      </c>
      <c r="V397" t="b">
        <f t="shared" si="95"/>
        <v>1</v>
      </c>
      <c r="W397" t="b">
        <f t="shared" si="96"/>
        <v>1</v>
      </c>
      <c r="X397" t="b">
        <f t="shared" si="97"/>
        <v>1</v>
      </c>
      <c r="Y397" t="b">
        <f t="shared" si="98"/>
        <v>1</v>
      </c>
      <c r="Z397" t="b">
        <f t="shared" si="99"/>
        <v>1</v>
      </c>
      <c r="AA397" t="b">
        <f t="shared" si="100"/>
        <v>1</v>
      </c>
      <c r="AB397" t="b">
        <f t="shared" si="101"/>
        <v>1</v>
      </c>
      <c r="AC397" t="b">
        <f t="shared" si="102"/>
        <v>1</v>
      </c>
      <c r="AD397" t="b">
        <f t="shared" si="103"/>
        <v>1</v>
      </c>
      <c r="AE397" t="b">
        <f t="shared" si="104"/>
        <v>1</v>
      </c>
      <c r="AG397" s="1">
        <v>2662945</v>
      </c>
      <c r="AH397" t="s">
        <v>288</v>
      </c>
      <c r="AI397">
        <v>540</v>
      </c>
      <c r="AJ397" t="s">
        <v>503</v>
      </c>
      <c r="AK397" s="2">
        <v>46189</v>
      </c>
      <c r="AL397" s="2">
        <v>46337</v>
      </c>
      <c r="AM397" s="3">
        <v>18</v>
      </c>
      <c r="AN397" t="s">
        <v>11</v>
      </c>
      <c r="AO397" s="3">
        <v>0</v>
      </c>
      <c r="AP397" t="s">
        <v>956</v>
      </c>
      <c r="AQ397" t="s">
        <v>290</v>
      </c>
      <c r="AR397" t="s">
        <v>516</v>
      </c>
      <c r="AS397" t="s">
        <v>23</v>
      </c>
    </row>
    <row r="398" spans="1:47" x14ac:dyDescent="0.25">
      <c r="A398" s="1">
        <v>2717257</v>
      </c>
      <c r="B398" t="s">
        <v>26</v>
      </c>
      <c r="C398">
        <v>540</v>
      </c>
      <c r="D398" t="s">
        <v>1</v>
      </c>
      <c r="E398" s="2">
        <v>46342</v>
      </c>
      <c r="F398" s="2">
        <v>46342</v>
      </c>
      <c r="G398" s="3">
        <v>3</v>
      </c>
      <c r="H398" t="s">
        <v>27</v>
      </c>
      <c r="I398" s="3">
        <v>0</v>
      </c>
      <c r="J398" t="s">
        <v>392</v>
      </c>
      <c r="K398" t="s">
        <v>29</v>
      </c>
      <c r="L398" t="s">
        <v>30</v>
      </c>
      <c r="M398" t="s">
        <v>6</v>
      </c>
      <c r="N398" t="s">
        <v>7</v>
      </c>
      <c r="O398" t="s">
        <v>31</v>
      </c>
      <c r="Q398" t="b">
        <f t="shared" si="90"/>
        <v>1</v>
      </c>
      <c r="R398" t="b">
        <f t="shared" si="91"/>
        <v>1</v>
      </c>
      <c r="S398" t="b">
        <f t="shared" si="92"/>
        <v>1</v>
      </c>
      <c r="T398" t="b">
        <f t="shared" si="93"/>
        <v>1</v>
      </c>
      <c r="U398" t="b">
        <f t="shared" si="94"/>
        <v>1</v>
      </c>
      <c r="V398" t="b">
        <f t="shared" si="95"/>
        <v>1</v>
      </c>
      <c r="W398" t="b">
        <f t="shared" si="96"/>
        <v>1</v>
      </c>
      <c r="X398" t="b">
        <f t="shared" si="97"/>
        <v>1</v>
      </c>
      <c r="Y398" t="b">
        <f t="shared" si="98"/>
        <v>1</v>
      </c>
      <c r="Z398" t="b">
        <f t="shared" si="99"/>
        <v>1</v>
      </c>
      <c r="AA398" t="b">
        <f t="shared" si="100"/>
        <v>1</v>
      </c>
      <c r="AB398" t="b">
        <f t="shared" si="101"/>
        <v>1</v>
      </c>
      <c r="AC398" t="b">
        <f t="shared" si="102"/>
        <v>1</v>
      </c>
      <c r="AD398" t="b">
        <f t="shared" si="103"/>
        <v>1</v>
      </c>
      <c r="AE398" t="b">
        <f t="shared" si="104"/>
        <v>1</v>
      </c>
      <c r="AG398" s="1">
        <v>2717257</v>
      </c>
      <c r="AH398" t="s">
        <v>519</v>
      </c>
      <c r="AI398">
        <v>540</v>
      </c>
      <c r="AJ398" t="s">
        <v>503</v>
      </c>
      <c r="AK398" s="2">
        <v>46342</v>
      </c>
      <c r="AL398" s="2">
        <v>46342</v>
      </c>
      <c r="AM398" s="3">
        <v>3</v>
      </c>
      <c r="AN398" t="s">
        <v>27</v>
      </c>
      <c r="AO398" s="3">
        <v>0</v>
      </c>
      <c r="AP398" t="s">
        <v>862</v>
      </c>
      <c r="AQ398" t="s">
        <v>29</v>
      </c>
      <c r="AR398" t="s">
        <v>521</v>
      </c>
      <c r="AU398" t="s">
        <v>522</v>
      </c>
    </row>
    <row r="399" spans="1:47" x14ac:dyDescent="0.25">
      <c r="A399" s="1">
        <v>2701892</v>
      </c>
      <c r="B399" t="s">
        <v>426</v>
      </c>
      <c r="C399">
        <v>540</v>
      </c>
      <c r="D399" t="s">
        <v>1</v>
      </c>
      <c r="E399" s="2">
        <v>46346</v>
      </c>
      <c r="F399" s="2">
        <v>46346</v>
      </c>
      <c r="G399" s="3">
        <v>15</v>
      </c>
      <c r="H399" t="s">
        <v>11</v>
      </c>
      <c r="I399" s="3">
        <v>39000</v>
      </c>
      <c r="J399" t="s">
        <v>427</v>
      </c>
      <c r="K399" t="s">
        <v>4</v>
      </c>
      <c r="L399" t="s">
        <v>22</v>
      </c>
      <c r="M399" t="s">
        <v>6</v>
      </c>
      <c r="N399" t="s">
        <v>7</v>
      </c>
      <c r="O399" t="s">
        <v>7</v>
      </c>
      <c r="Q399" t="b">
        <f t="shared" si="90"/>
        <v>1</v>
      </c>
      <c r="R399" t="b">
        <f t="shared" si="91"/>
        <v>1</v>
      </c>
      <c r="S399" t="b">
        <f t="shared" si="92"/>
        <v>1</v>
      </c>
      <c r="T399" t="b">
        <f t="shared" si="93"/>
        <v>1</v>
      </c>
      <c r="U399" t="b">
        <f t="shared" si="94"/>
        <v>1</v>
      </c>
      <c r="V399" t="b">
        <f t="shared" si="95"/>
        <v>1</v>
      </c>
      <c r="W399" t="b">
        <f t="shared" si="96"/>
        <v>1</v>
      </c>
      <c r="X399" t="b">
        <f t="shared" si="97"/>
        <v>1</v>
      </c>
      <c r="Y399" t="b">
        <f t="shared" si="98"/>
        <v>1</v>
      </c>
      <c r="Z399" t="b">
        <f t="shared" si="99"/>
        <v>1</v>
      </c>
      <c r="AA399" t="b">
        <f t="shared" si="100"/>
        <v>1</v>
      </c>
      <c r="AB399" t="b">
        <f t="shared" si="101"/>
        <v>1</v>
      </c>
      <c r="AC399" t="b">
        <f t="shared" si="102"/>
        <v>1</v>
      </c>
      <c r="AD399" t="b">
        <f t="shared" si="103"/>
        <v>1</v>
      </c>
      <c r="AE399" t="b">
        <f t="shared" si="104"/>
        <v>1</v>
      </c>
      <c r="AG399" s="1">
        <v>2701892</v>
      </c>
      <c r="AH399" t="s">
        <v>896</v>
      </c>
      <c r="AI399">
        <v>540</v>
      </c>
      <c r="AJ399" t="s">
        <v>503</v>
      </c>
      <c r="AK399" s="2">
        <v>46346</v>
      </c>
      <c r="AL399" s="2">
        <v>46346</v>
      </c>
      <c r="AM399" s="3">
        <v>15</v>
      </c>
      <c r="AN399" t="s">
        <v>11</v>
      </c>
      <c r="AO399" s="3">
        <v>39000</v>
      </c>
      <c r="AP399" t="s">
        <v>897</v>
      </c>
      <c r="AR399" t="s">
        <v>516</v>
      </c>
    </row>
    <row r="400" spans="1:47" x14ac:dyDescent="0.25">
      <c r="A400" s="1">
        <v>2569197</v>
      </c>
      <c r="B400" t="s">
        <v>19</v>
      </c>
      <c r="C400">
        <v>540</v>
      </c>
      <c r="D400" t="s">
        <v>1</v>
      </c>
      <c r="E400" s="2">
        <v>46359</v>
      </c>
      <c r="F400" s="2">
        <v>46359</v>
      </c>
      <c r="G400" s="3">
        <v>80</v>
      </c>
      <c r="H400" t="s">
        <v>20</v>
      </c>
      <c r="I400" s="3">
        <v>36000</v>
      </c>
      <c r="J400" t="s">
        <v>21</v>
      </c>
      <c r="K400" t="s">
        <v>4</v>
      </c>
      <c r="L400" t="s">
        <v>22</v>
      </c>
      <c r="M400" t="s">
        <v>6</v>
      </c>
      <c r="N400" t="s">
        <v>7</v>
      </c>
      <c r="O400" t="s">
        <v>7</v>
      </c>
      <c r="Q400" t="b">
        <f t="shared" si="90"/>
        <v>1</v>
      </c>
      <c r="R400" t="b">
        <f t="shared" si="91"/>
        <v>1</v>
      </c>
      <c r="S400" t="b">
        <f t="shared" si="92"/>
        <v>1</v>
      </c>
      <c r="T400" t="b">
        <f t="shared" si="93"/>
        <v>1</v>
      </c>
      <c r="U400" t="b">
        <f t="shared" si="94"/>
        <v>1</v>
      </c>
      <c r="V400" t="b">
        <f t="shared" si="95"/>
        <v>1</v>
      </c>
      <c r="W400" t="b">
        <f t="shared" si="96"/>
        <v>1</v>
      </c>
      <c r="X400" t="b">
        <f t="shared" si="97"/>
        <v>1</v>
      </c>
      <c r="Y400" t="b">
        <f t="shared" si="98"/>
        <v>1</v>
      </c>
      <c r="Z400" t="b">
        <f t="shared" si="99"/>
        <v>1</v>
      </c>
      <c r="AA400" t="b">
        <f t="shared" si="100"/>
        <v>1</v>
      </c>
      <c r="AB400" t="b">
        <f t="shared" si="101"/>
        <v>1</v>
      </c>
      <c r="AC400" t="b">
        <f t="shared" si="102"/>
        <v>1</v>
      </c>
      <c r="AD400" t="b">
        <f t="shared" si="103"/>
        <v>1</v>
      </c>
      <c r="AE400" t="b">
        <f t="shared" si="104"/>
        <v>1</v>
      </c>
      <c r="AG400" s="1">
        <v>2569197</v>
      </c>
      <c r="AH400" t="s">
        <v>514</v>
      </c>
      <c r="AI400">
        <v>540</v>
      </c>
      <c r="AJ400" t="s">
        <v>503</v>
      </c>
      <c r="AK400" s="2">
        <v>46359</v>
      </c>
      <c r="AL400" s="2">
        <v>46359</v>
      </c>
      <c r="AM400" s="3">
        <v>80</v>
      </c>
      <c r="AN400" t="s">
        <v>20</v>
      </c>
      <c r="AO400" s="3">
        <v>36000</v>
      </c>
      <c r="AP400" t="s">
        <v>515</v>
      </c>
      <c r="AR400" t="s">
        <v>516</v>
      </c>
    </row>
    <row r="401" spans="1:47" x14ac:dyDescent="0.25">
      <c r="A401" s="1">
        <v>2701840</v>
      </c>
      <c r="B401" t="s">
        <v>426</v>
      </c>
      <c r="C401">
        <v>540</v>
      </c>
      <c r="D401" t="s">
        <v>1</v>
      </c>
      <c r="E401" s="2">
        <v>46363</v>
      </c>
      <c r="F401" s="2">
        <v>46363</v>
      </c>
      <c r="G401" s="3">
        <v>15</v>
      </c>
      <c r="H401" t="s">
        <v>11</v>
      </c>
      <c r="I401" s="3">
        <v>39000</v>
      </c>
      <c r="J401" t="s">
        <v>427</v>
      </c>
      <c r="K401" t="s">
        <v>4</v>
      </c>
      <c r="L401" t="s">
        <v>22</v>
      </c>
      <c r="M401" t="s">
        <v>6</v>
      </c>
      <c r="N401" t="s">
        <v>7</v>
      </c>
      <c r="O401" t="s">
        <v>7</v>
      </c>
      <c r="Q401" t="b">
        <f t="shared" si="90"/>
        <v>1</v>
      </c>
      <c r="R401" t="b">
        <f t="shared" si="91"/>
        <v>1</v>
      </c>
      <c r="S401" t="b">
        <f t="shared" si="92"/>
        <v>1</v>
      </c>
      <c r="T401" t="b">
        <f t="shared" si="93"/>
        <v>1</v>
      </c>
      <c r="U401" t="b">
        <f t="shared" si="94"/>
        <v>1</v>
      </c>
      <c r="V401" t="b">
        <f t="shared" si="95"/>
        <v>1</v>
      </c>
      <c r="W401" t="b">
        <f t="shared" si="96"/>
        <v>1</v>
      </c>
      <c r="X401" t="b">
        <f t="shared" si="97"/>
        <v>1</v>
      </c>
      <c r="Y401" t="b">
        <f t="shared" si="98"/>
        <v>1</v>
      </c>
      <c r="Z401" t="b">
        <f t="shared" si="99"/>
        <v>1</v>
      </c>
      <c r="AA401" t="b">
        <f t="shared" si="100"/>
        <v>1</v>
      </c>
      <c r="AB401" t="b">
        <f t="shared" si="101"/>
        <v>1</v>
      </c>
      <c r="AC401" t="b">
        <f t="shared" si="102"/>
        <v>1</v>
      </c>
      <c r="AD401" t="b">
        <f t="shared" si="103"/>
        <v>1</v>
      </c>
      <c r="AE401" t="b">
        <f t="shared" si="104"/>
        <v>1</v>
      </c>
      <c r="AG401" s="1">
        <v>2701840</v>
      </c>
      <c r="AH401" t="s">
        <v>896</v>
      </c>
      <c r="AI401">
        <v>540</v>
      </c>
      <c r="AJ401" t="s">
        <v>503</v>
      </c>
      <c r="AK401" s="2">
        <v>46363</v>
      </c>
      <c r="AL401" s="2">
        <v>46363</v>
      </c>
      <c r="AM401" s="3">
        <v>15</v>
      </c>
      <c r="AN401" t="s">
        <v>11</v>
      </c>
      <c r="AO401" s="3">
        <v>39000</v>
      </c>
      <c r="AP401" t="s">
        <v>897</v>
      </c>
      <c r="AR401" t="s">
        <v>516</v>
      </c>
    </row>
    <row r="402" spans="1:47" x14ac:dyDescent="0.25">
      <c r="A402" s="1">
        <v>2662961</v>
      </c>
      <c r="B402" t="s">
        <v>288</v>
      </c>
      <c r="C402">
        <v>540</v>
      </c>
      <c r="D402" t="s">
        <v>1</v>
      </c>
      <c r="E402" s="2">
        <v>46211</v>
      </c>
      <c r="F402" s="2">
        <v>46364</v>
      </c>
      <c r="G402" s="3">
        <v>18</v>
      </c>
      <c r="H402" t="s">
        <v>11</v>
      </c>
      <c r="I402" s="3">
        <v>0</v>
      </c>
      <c r="J402" t="s">
        <v>492</v>
      </c>
      <c r="K402" t="s">
        <v>290</v>
      </c>
      <c r="L402" t="s">
        <v>22</v>
      </c>
      <c r="M402" t="s">
        <v>23</v>
      </c>
      <c r="N402" t="s">
        <v>7</v>
      </c>
      <c r="O402" t="s">
        <v>7</v>
      </c>
      <c r="Q402" t="b">
        <f t="shared" si="90"/>
        <v>1</v>
      </c>
      <c r="R402" t="b">
        <f t="shared" si="91"/>
        <v>1</v>
      </c>
      <c r="S402" t="b">
        <f t="shared" si="92"/>
        <v>1</v>
      </c>
      <c r="T402" t="b">
        <f t="shared" si="93"/>
        <v>1</v>
      </c>
      <c r="U402" t="b">
        <f t="shared" si="94"/>
        <v>1</v>
      </c>
      <c r="V402" t="b">
        <f t="shared" si="95"/>
        <v>1</v>
      </c>
      <c r="W402" t="b">
        <f t="shared" si="96"/>
        <v>1</v>
      </c>
      <c r="X402" t="b">
        <f t="shared" si="97"/>
        <v>1</v>
      </c>
      <c r="Y402" t="b">
        <f t="shared" si="98"/>
        <v>1</v>
      </c>
      <c r="Z402" t="b">
        <f t="shared" si="99"/>
        <v>1</v>
      </c>
      <c r="AA402" t="b">
        <f t="shared" si="100"/>
        <v>1</v>
      </c>
      <c r="AB402" t="b">
        <f t="shared" si="101"/>
        <v>1</v>
      </c>
      <c r="AC402" t="b">
        <f t="shared" si="102"/>
        <v>1</v>
      </c>
      <c r="AD402" t="b">
        <f t="shared" si="103"/>
        <v>1</v>
      </c>
      <c r="AE402" t="b">
        <f t="shared" si="104"/>
        <v>1</v>
      </c>
      <c r="AG402" s="1">
        <v>2662961</v>
      </c>
      <c r="AH402" t="s">
        <v>288</v>
      </c>
      <c r="AI402">
        <v>540</v>
      </c>
      <c r="AJ402" t="s">
        <v>503</v>
      </c>
      <c r="AK402" s="2">
        <v>46211</v>
      </c>
      <c r="AL402" s="2">
        <v>46364</v>
      </c>
      <c r="AM402" s="3">
        <v>18</v>
      </c>
      <c r="AN402" t="s">
        <v>11</v>
      </c>
      <c r="AO402" s="3">
        <v>0</v>
      </c>
      <c r="AP402" t="s">
        <v>956</v>
      </c>
      <c r="AQ402" t="s">
        <v>290</v>
      </c>
      <c r="AR402" t="s">
        <v>516</v>
      </c>
      <c r="AS402" t="s">
        <v>23</v>
      </c>
    </row>
    <row r="403" spans="1:47" x14ac:dyDescent="0.25">
      <c r="A403" s="1">
        <v>2569198</v>
      </c>
      <c r="B403" t="s">
        <v>19</v>
      </c>
      <c r="C403">
        <v>540</v>
      </c>
      <c r="D403" t="s">
        <v>1</v>
      </c>
      <c r="E403" s="2">
        <v>46366</v>
      </c>
      <c r="F403" s="2">
        <v>46366</v>
      </c>
      <c r="G403" s="3">
        <v>80</v>
      </c>
      <c r="H403" t="s">
        <v>20</v>
      </c>
      <c r="I403" s="3">
        <v>36000</v>
      </c>
      <c r="J403" t="s">
        <v>21</v>
      </c>
      <c r="K403" t="s">
        <v>4</v>
      </c>
      <c r="L403" t="s">
        <v>22</v>
      </c>
      <c r="M403" t="s">
        <v>6</v>
      </c>
      <c r="N403" t="s">
        <v>7</v>
      </c>
      <c r="O403" t="s">
        <v>7</v>
      </c>
      <c r="Q403" t="b">
        <f t="shared" si="90"/>
        <v>1</v>
      </c>
      <c r="R403" t="b">
        <f t="shared" si="91"/>
        <v>1</v>
      </c>
      <c r="S403" t="b">
        <f t="shared" si="92"/>
        <v>1</v>
      </c>
      <c r="T403" t="b">
        <f t="shared" si="93"/>
        <v>1</v>
      </c>
      <c r="U403" t="b">
        <f t="shared" si="94"/>
        <v>1</v>
      </c>
      <c r="V403" t="b">
        <f t="shared" si="95"/>
        <v>1</v>
      </c>
      <c r="W403" t="b">
        <f t="shared" si="96"/>
        <v>1</v>
      </c>
      <c r="X403" t="b">
        <f t="shared" si="97"/>
        <v>1</v>
      </c>
      <c r="Y403" t="b">
        <f t="shared" si="98"/>
        <v>1</v>
      </c>
      <c r="Z403" t="b">
        <f t="shared" si="99"/>
        <v>1</v>
      </c>
      <c r="AA403" t="b">
        <f t="shared" si="100"/>
        <v>1</v>
      </c>
      <c r="AB403" t="b">
        <f t="shared" si="101"/>
        <v>1</v>
      </c>
      <c r="AC403" t="b">
        <f t="shared" si="102"/>
        <v>1</v>
      </c>
      <c r="AD403" t="b">
        <f t="shared" si="103"/>
        <v>1</v>
      </c>
      <c r="AE403" t="b">
        <f t="shared" si="104"/>
        <v>1</v>
      </c>
      <c r="AG403" s="1">
        <v>2569198</v>
      </c>
      <c r="AH403" t="s">
        <v>514</v>
      </c>
      <c r="AI403">
        <v>540</v>
      </c>
      <c r="AJ403" t="s">
        <v>503</v>
      </c>
      <c r="AK403" s="2">
        <v>46366</v>
      </c>
      <c r="AL403" s="2">
        <v>46366</v>
      </c>
      <c r="AM403" s="3">
        <v>80</v>
      </c>
      <c r="AN403" t="s">
        <v>20</v>
      </c>
      <c r="AO403" s="3">
        <v>36000</v>
      </c>
      <c r="AP403" t="s">
        <v>515</v>
      </c>
      <c r="AR403" t="s">
        <v>516</v>
      </c>
    </row>
    <row r="404" spans="1:47" x14ac:dyDescent="0.25">
      <c r="A404" s="1">
        <v>2732783</v>
      </c>
      <c r="B404" t="s">
        <v>496</v>
      </c>
      <c r="C404">
        <v>540</v>
      </c>
      <c r="D404" t="s">
        <v>1</v>
      </c>
      <c r="E404" s="2">
        <v>46211</v>
      </c>
      <c r="F404" s="2">
        <v>46372</v>
      </c>
      <c r="G404" s="3">
        <v>20</v>
      </c>
      <c r="H404" t="s">
        <v>2</v>
      </c>
      <c r="I404" s="3">
        <v>800</v>
      </c>
      <c r="J404" t="s">
        <v>497</v>
      </c>
      <c r="K404" t="s">
        <v>4</v>
      </c>
      <c r="L404" t="s">
        <v>37</v>
      </c>
      <c r="M404" t="s">
        <v>6</v>
      </c>
      <c r="N404" t="s">
        <v>7</v>
      </c>
      <c r="O404" t="s">
        <v>7</v>
      </c>
      <c r="Q404" t="b">
        <f t="shared" si="90"/>
        <v>1</v>
      </c>
      <c r="R404" t="b">
        <f t="shared" si="91"/>
        <v>1</v>
      </c>
      <c r="S404" t="b">
        <f t="shared" si="92"/>
        <v>1</v>
      </c>
      <c r="T404" t="b">
        <f t="shared" si="93"/>
        <v>1</v>
      </c>
      <c r="U404" t="b">
        <f t="shared" si="94"/>
        <v>1</v>
      </c>
      <c r="V404" t="b">
        <f t="shared" si="95"/>
        <v>1</v>
      </c>
      <c r="W404" t="b">
        <f t="shared" si="96"/>
        <v>1</v>
      </c>
      <c r="X404" t="b">
        <f t="shared" si="97"/>
        <v>1</v>
      </c>
      <c r="Y404" t="b">
        <f t="shared" si="98"/>
        <v>1</v>
      </c>
      <c r="Z404" t="b">
        <f t="shared" si="99"/>
        <v>1</v>
      </c>
      <c r="AA404" t="b">
        <f t="shared" si="100"/>
        <v>1</v>
      </c>
      <c r="AB404" t="b">
        <f t="shared" si="101"/>
        <v>1</v>
      </c>
      <c r="AC404" t="b">
        <f t="shared" si="102"/>
        <v>1</v>
      </c>
      <c r="AD404" t="b">
        <f t="shared" si="103"/>
        <v>1</v>
      </c>
      <c r="AE404" t="b">
        <f t="shared" si="104"/>
        <v>1</v>
      </c>
      <c r="AG404" s="1">
        <v>2732783</v>
      </c>
      <c r="AH404" t="s">
        <v>960</v>
      </c>
      <c r="AI404">
        <v>540</v>
      </c>
      <c r="AJ404" t="s">
        <v>503</v>
      </c>
      <c r="AK404" s="2">
        <v>46211</v>
      </c>
      <c r="AL404" s="2">
        <v>46372</v>
      </c>
      <c r="AM404" s="3">
        <v>20</v>
      </c>
      <c r="AN404" t="s">
        <v>2</v>
      </c>
      <c r="AO404" s="3">
        <v>800</v>
      </c>
      <c r="AP404" t="s">
        <v>961</v>
      </c>
      <c r="AR404" t="s">
        <v>528</v>
      </c>
    </row>
    <row r="405" spans="1:47" x14ac:dyDescent="0.25">
      <c r="A405" s="1">
        <v>2734561</v>
      </c>
      <c r="B405" t="s">
        <v>498</v>
      </c>
      <c r="C405">
        <v>540</v>
      </c>
      <c r="D405" t="s">
        <v>1</v>
      </c>
      <c r="E405" s="2">
        <v>46241</v>
      </c>
      <c r="F405" s="2">
        <v>46374</v>
      </c>
      <c r="G405" s="3">
        <v>16</v>
      </c>
      <c r="H405" t="s">
        <v>20</v>
      </c>
      <c r="I405" s="3">
        <v>7408</v>
      </c>
      <c r="J405" t="s">
        <v>495</v>
      </c>
      <c r="K405" t="s">
        <v>4</v>
      </c>
      <c r="L405" t="s">
        <v>90</v>
      </c>
      <c r="M405" t="s">
        <v>6</v>
      </c>
      <c r="N405" t="s">
        <v>7</v>
      </c>
      <c r="O405" t="s">
        <v>7</v>
      </c>
      <c r="Q405" t="b">
        <f t="shared" si="90"/>
        <v>1</v>
      </c>
      <c r="R405" t="b">
        <f t="shared" si="91"/>
        <v>1</v>
      </c>
      <c r="S405" t="b">
        <f t="shared" si="92"/>
        <v>1</v>
      </c>
      <c r="T405" t="b">
        <f t="shared" si="93"/>
        <v>1</v>
      </c>
      <c r="U405" t="b">
        <f t="shared" si="94"/>
        <v>1</v>
      </c>
      <c r="V405" t="b">
        <f t="shared" si="95"/>
        <v>1</v>
      </c>
      <c r="W405" t="b">
        <f t="shared" si="96"/>
        <v>1</v>
      </c>
      <c r="X405" t="b">
        <f t="shared" si="97"/>
        <v>1</v>
      </c>
      <c r="Y405" t="b">
        <f t="shared" si="98"/>
        <v>1</v>
      </c>
      <c r="Z405" t="b">
        <f t="shared" si="99"/>
        <v>1</v>
      </c>
      <c r="AA405" t="b">
        <f t="shared" si="100"/>
        <v>1</v>
      </c>
      <c r="AB405" t="b">
        <f t="shared" si="101"/>
        <v>1</v>
      </c>
      <c r="AC405" t="b">
        <f t="shared" si="102"/>
        <v>1</v>
      </c>
      <c r="AD405" t="b">
        <f t="shared" si="103"/>
        <v>1</v>
      </c>
      <c r="AE405" t="b">
        <f t="shared" si="104"/>
        <v>1</v>
      </c>
      <c r="AG405" s="1">
        <v>2734561</v>
      </c>
      <c r="AH405" t="s">
        <v>962</v>
      </c>
      <c r="AI405">
        <v>540</v>
      </c>
      <c r="AJ405" t="s">
        <v>503</v>
      </c>
      <c r="AK405" s="2">
        <v>46241</v>
      </c>
      <c r="AL405" s="2">
        <v>46374</v>
      </c>
      <c r="AM405" s="3">
        <v>16</v>
      </c>
      <c r="AN405" t="s">
        <v>20</v>
      </c>
      <c r="AO405" s="3">
        <v>7408</v>
      </c>
      <c r="AP405" t="s">
        <v>959</v>
      </c>
      <c r="AR405" t="s">
        <v>577</v>
      </c>
    </row>
    <row r="406" spans="1:47" x14ac:dyDescent="0.25">
      <c r="A406" s="1">
        <v>2563079</v>
      </c>
      <c r="B406" t="s">
        <v>443</v>
      </c>
      <c r="C406">
        <v>540</v>
      </c>
      <c r="D406" t="s">
        <v>1</v>
      </c>
      <c r="E406" s="2">
        <v>46440</v>
      </c>
      <c r="F406" s="2">
        <v>46440</v>
      </c>
      <c r="G406" s="3">
        <v>1</v>
      </c>
      <c r="H406" t="s">
        <v>20</v>
      </c>
      <c r="I406" s="3">
        <v>0</v>
      </c>
      <c r="J406" t="s">
        <v>499</v>
      </c>
      <c r="K406" t="s">
        <v>4</v>
      </c>
      <c r="L406" t="s">
        <v>108</v>
      </c>
      <c r="M406" t="s">
        <v>6</v>
      </c>
      <c r="N406" t="s">
        <v>445</v>
      </c>
      <c r="O406" t="s">
        <v>446</v>
      </c>
      <c r="Q406" t="b">
        <f t="shared" si="90"/>
        <v>1</v>
      </c>
      <c r="R406" t="b">
        <f t="shared" si="91"/>
        <v>1</v>
      </c>
      <c r="S406" t="b">
        <f t="shared" si="92"/>
        <v>1</v>
      </c>
      <c r="T406" t="b">
        <f t="shared" si="93"/>
        <v>1</v>
      </c>
      <c r="U406" t="b">
        <f t="shared" si="94"/>
        <v>1</v>
      </c>
      <c r="V406" t="b">
        <f t="shared" si="95"/>
        <v>1</v>
      </c>
      <c r="W406" t="b">
        <f t="shared" si="96"/>
        <v>1</v>
      </c>
      <c r="X406" t="b">
        <f t="shared" si="97"/>
        <v>1</v>
      </c>
      <c r="Y406" t="b">
        <f t="shared" si="98"/>
        <v>1</v>
      </c>
      <c r="Z406" t="b">
        <f t="shared" si="99"/>
        <v>1</v>
      </c>
      <c r="AA406" t="b">
        <f t="shared" si="100"/>
        <v>1</v>
      </c>
      <c r="AB406" t="b">
        <f t="shared" si="101"/>
        <v>1</v>
      </c>
      <c r="AC406" t="b">
        <f t="shared" si="102"/>
        <v>1</v>
      </c>
      <c r="AD406" t="b">
        <f t="shared" si="103"/>
        <v>1</v>
      </c>
      <c r="AE406" t="b">
        <f t="shared" si="104"/>
        <v>1</v>
      </c>
      <c r="AG406" s="1">
        <v>2563079</v>
      </c>
      <c r="AH406" t="s">
        <v>912</v>
      </c>
      <c r="AI406">
        <v>540</v>
      </c>
      <c r="AJ406" t="s">
        <v>503</v>
      </c>
      <c r="AK406" s="2">
        <v>46440</v>
      </c>
      <c r="AL406" s="2">
        <v>46440</v>
      </c>
      <c r="AM406" s="3">
        <v>1</v>
      </c>
      <c r="AN406" t="s">
        <v>20</v>
      </c>
      <c r="AO406" s="3">
        <v>0</v>
      </c>
      <c r="AP406" t="s">
        <v>963</v>
      </c>
      <c r="AR406" t="s">
        <v>595</v>
      </c>
      <c r="AT406" t="s">
        <v>914</v>
      </c>
      <c r="AU406" t="s">
        <v>915</v>
      </c>
    </row>
    <row r="407" spans="1:47" x14ac:dyDescent="0.25">
      <c r="A407" s="1">
        <v>2743311</v>
      </c>
      <c r="B407" t="s">
        <v>500</v>
      </c>
      <c r="C407">
        <v>525</v>
      </c>
      <c r="D407" t="s">
        <v>1</v>
      </c>
      <c r="E407" s="2">
        <v>46245</v>
      </c>
      <c r="F407" s="2">
        <v>46477</v>
      </c>
      <c r="G407" s="3">
        <v>16</v>
      </c>
      <c r="H407" t="s">
        <v>20</v>
      </c>
      <c r="I407" s="3">
        <v>0</v>
      </c>
      <c r="J407" t="s">
        <v>501</v>
      </c>
      <c r="K407" t="s">
        <v>343</v>
      </c>
      <c r="L407" t="s">
        <v>108</v>
      </c>
      <c r="M407" t="s">
        <v>6</v>
      </c>
      <c r="N407" t="s">
        <v>7</v>
      </c>
      <c r="O407" t="s">
        <v>440</v>
      </c>
      <c r="Q407" t="b">
        <f t="shared" si="90"/>
        <v>1</v>
      </c>
      <c r="R407" t="b">
        <f t="shared" si="91"/>
        <v>1</v>
      </c>
      <c r="S407" t="b">
        <f t="shared" si="92"/>
        <v>1</v>
      </c>
      <c r="T407" t="b">
        <f t="shared" si="93"/>
        <v>1</v>
      </c>
      <c r="U407" t="b">
        <f t="shared" si="94"/>
        <v>1</v>
      </c>
      <c r="V407" t="b">
        <f t="shared" si="95"/>
        <v>1</v>
      </c>
      <c r="W407" t="b">
        <f t="shared" si="96"/>
        <v>1</v>
      </c>
      <c r="X407" t="b">
        <f t="shared" si="97"/>
        <v>1</v>
      </c>
      <c r="Y407" t="b">
        <f t="shared" si="98"/>
        <v>1</v>
      </c>
      <c r="Z407" t="b">
        <f t="shared" si="99"/>
        <v>1</v>
      </c>
      <c r="AA407" t="b">
        <f t="shared" si="100"/>
        <v>1</v>
      </c>
      <c r="AB407" t="b">
        <f t="shared" si="101"/>
        <v>1</v>
      </c>
      <c r="AC407" t="b">
        <f t="shared" si="102"/>
        <v>1</v>
      </c>
      <c r="AD407" t="b">
        <f t="shared" si="103"/>
        <v>1</v>
      </c>
      <c r="AE407" t="b">
        <f t="shared" si="104"/>
        <v>1</v>
      </c>
      <c r="AG407" s="1">
        <v>2743311</v>
      </c>
      <c r="AH407" t="s">
        <v>964</v>
      </c>
      <c r="AI407">
        <v>525</v>
      </c>
      <c r="AJ407" t="s">
        <v>503</v>
      </c>
      <c r="AK407" s="2">
        <v>46245</v>
      </c>
      <c r="AL407" s="2">
        <v>46477</v>
      </c>
      <c r="AM407" s="3">
        <v>16</v>
      </c>
      <c r="AN407" t="s">
        <v>20</v>
      </c>
      <c r="AO407" s="3">
        <v>0</v>
      </c>
      <c r="AP407" t="s">
        <v>965</v>
      </c>
      <c r="AQ407" t="s">
        <v>343</v>
      </c>
      <c r="AR407" t="s">
        <v>595</v>
      </c>
      <c r="AU407" t="s">
        <v>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0391-9D4E-4DB0-AA35-78AF7CFC3431}">
  <dimension ref="A1:C23"/>
  <sheetViews>
    <sheetView workbookViewId="0"/>
  </sheetViews>
  <sheetFormatPr defaultRowHeight="15" x14ac:dyDescent="0.25"/>
  <cols>
    <col min="1" max="1" width="26.7109375" customWidth="1"/>
    <col min="2" max="2" width="30.7109375" customWidth="1"/>
    <col min="3" max="3" width="90.7109375" customWidth="1"/>
  </cols>
  <sheetData>
    <row r="1" spans="1:3" x14ac:dyDescent="0.25">
      <c r="A1" s="5" t="s">
        <v>990</v>
      </c>
    </row>
    <row r="2" spans="1:3" x14ac:dyDescent="0.25">
      <c r="A2" s="5" t="s">
        <v>991</v>
      </c>
      <c r="B2" s="5" t="s">
        <v>992</v>
      </c>
    </row>
    <row r="3" spans="1:3" x14ac:dyDescent="0.25">
      <c r="A3" t="s">
        <v>993</v>
      </c>
    </row>
    <row r="5" spans="1:3" x14ac:dyDescent="0.25">
      <c r="A5" s="5" t="s">
        <v>994</v>
      </c>
      <c r="B5" s="5" t="s">
        <v>992</v>
      </c>
    </row>
    <row r="6" spans="1:3" x14ac:dyDescent="0.25">
      <c r="A6" t="s">
        <v>993</v>
      </c>
    </row>
    <row r="8" spans="1:3" x14ac:dyDescent="0.25">
      <c r="A8" s="5" t="s">
        <v>995</v>
      </c>
    </row>
    <row r="9" spans="1:3" x14ac:dyDescent="0.25">
      <c r="A9" s="5" t="s">
        <v>996</v>
      </c>
      <c r="B9" s="5" t="s">
        <v>997</v>
      </c>
      <c r="C9" s="5" t="s">
        <v>992</v>
      </c>
    </row>
    <row r="10" spans="1:3" x14ac:dyDescent="0.25">
      <c r="A10" t="s">
        <v>998</v>
      </c>
      <c r="B10" t="s">
        <v>999</v>
      </c>
      <c r="C10" t="s">
        <v>1000</v>
      </c>
    </row>
    <row r="11" spans="1:3" x14ac:dyDescent="0.25">
      <c r="A11" t="s">
        <v>1001</v>
      </c>
      <c r="B11" t="s">
        <v>974</v>
      </c>
      <c r="C11" t="s">
        <v>1002</v>
      </c>
    </row>
    <row r="12" spans="1:3" x14ac:dyDescent="0.25">
      <c r="A12" t="s">
        <v>1003</v>
      </c>
      <c r="B12" t="s">
        <v>974</v>
      </c>
      <c r="C12" t="s">
        <v>1002</v>
      </c>
    </row>
    <row r="13" spans="1:3" x14ac:dyDescent="0.25">
      <c r="A13" t="s">
        <v>1004</v>
      </c>
      <c r="B13" t="s">
        <v>984</v>
      </c>
      <c r="C13" t="s">
        <v>1005</v>
      </c>
    </row>
    <row r="14" spans="1:3" x14ac:dyDescent="0.25">
      <c r="A14" t="s">
        <v>1006</v>
      </c>
      <c r="B14" t="s">
        <v>984</v>
      </c>
      <c r="C14" t="s">
        <v>1005</v>
      </c>
    </row>
    <row r="15" spans="1:3" x14ac:dyDescent="0.25">
      <c r="A15" t="s">
        <v>1007</v>
      </c>
      <c r="B15" t="s">
        <v>986</v>
      </c>
      <c r="C15" t="s">
        <v>1008</v>
      </c>
    </row>
    <row r="17" spans="1:2" x14ac:dyDescent="0.25">
      <c r="A17" t="s">
        <v>1009</v>
      </c>
    </row>
    <row r="19" spans="1:2" x14ac:dyDescent="0.25">
      <c r="A19" s="12" t="s">
        <v>1023</v>
      </c>
    </row>
    <row r="20" spans="1:2" x14ac:dyDescent="0.25">
      <c r="A20" s="12" t="s">
        <v>1024</v>
      </c>
    </row>
    <row r="22" spans="1:2" x14ac:dyDescent="0.25">
      <c r="A22" s="13" t="s">
        <v>969</v>
      </c>
      <c r="B22" s="12" t="s">
        <v>1025</v>
      </c>
    </row>
    <row r="23" spans="1:2" x14ac:dyDescent="0.25">
      <c r="A23" s="13" t="s">
        <v>971</v>
      </c>
      <c r="B23" s="12" t="s">
        <v>1026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240532D1-C603-4F79-94E9-96778D262483}"/>
</file>

<file path=customXml/itemProps2.xml><?xml version="1.0" encoding="utf-8"?>
<ds:datastoreItem xmlns:ds="http://schemas.openxmlformats.org/officeDocument/2006/customXml" ds:itemID="{2088A9BE-AB13-4260-A217-74AE8763CC66}"/>
</file>

<file path=customXml/itemProps3.xml><?xml version="1.0" encoding="utf-8"?>
<ds:datastoreItem xmlns:ds="http://schemas.openxmlformats.org/officeDocument/2006/customXml" ds:itemID="{79544250-BE87-4E5A-88DD-B3609D833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 - Other</vt:lpstr>
      <vt:lpstr>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Bishop</dc:creator>
  <cp:lastModifiedBy>Zack Bishop</cp:lastModifiedBy>
  <dcterms:created xsi:type="dcterms:W3CDTF">2026-07-16T14:03:15Z</dcterms:created>
  <dcterms:modified xsi:type="dcterms:W3CDTF">2026-07-16T15:44:43Z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  <property fmtid="{D5CDD505-2E9C-101B-9397-08002B2CF9AE}" pid="3" name="MediaServiceImageTags">
    <vt:lpwstr/>
  </property>
</Properties>
</file>