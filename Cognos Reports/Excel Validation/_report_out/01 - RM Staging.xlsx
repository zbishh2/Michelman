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BD410BA1-D225-4A6C-9435-2E3FCCF5535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tes" sheetId="1" r:id="rId1"/>
    <sheet name="Comparison - RM Requirements" sheetId="2" r:id="rId2"/>
    <sheet name="Comparison - Work Order Detail" sheetId="3" r:id="rId3"/>
    <sheet name="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</calcChain>
</file>

<file path=xl/sharedStrings.xml><?xml version="1.0" encoding="utf-8"?>
<sst xmlns="http://schemas.openxmlformats.org/spreadsheetml/2006/main" count="302" uniqueCount="111">
  <si>
    <t>WO Start | Raw Material | WO Number | FG Item</t>
  </si>
  <si>
    <t>in Cognos but not in PBI</t>
  </si>
  <si>
    <t>(none)</t>
  </si>
  <si>
    <t>in PBI but not in Cognos</t>
  </si>
  <si>
    <t>0 PBI-only rows are all non-short raw materials produced by the deployed query's missing short-list INNER JOIN (fixed 2026-07-06; pending refresh).</t>
  </si>
  <si>
    <t>Cognos-only rows: none. Matched short-material rows: 15/15 exact.</t>
  </si>
  <si>
    <t>Cognos</t>
  </si>
  <si>
    <t>QTY OH in CINC</t>
  </si>
  <si>
    <t>Total RM Needed</t>
  </si>
  <si>
    <t>QTY Required from CIN2</t>
  </si>
  <si>
    <t>PBI</t>
  </si>
  <si>
    <t>Qty On Hand CINC</t>
  </si>
  <si>
    <t>Qty Required From CIN2</t>
  </si>
  <si>
    <t>Cognos Migration - Report ID 288 - RM Staging at Shell Road 2026 (ODS)</t>
  </si>
  <si>
    <t>Data revised 7/7/2026</t>
  </si>
  <si>
    <t>Cognos filters</t>
  </si>
  <si>
    <t>Objective: RM to transfer to CINC from CIN2; parts required within the next 2 business days; material is NOT a finished-good MPF.</t>
  </si>
  <si>
    <t>Manufacturing branch WAMMCU = 'CINC'.</t>
  </si>
  <si>
    <t>Open WO statuses: WASRST NOT IN ('93','94','95','97','99','MM','CD').</t>
  </si>
  <si>
    <t>Open RM (WMUORG - WMTRQT)/10000 &gt; 0.</t>
  </si>
  <si>
    <t>FG parent item WALITM NOT LIKE '%-%'; component WMCPIL NOT LIKE '%H2O%'.</t>
  </si>
  <si>
    <t>Raw-material whitelist IBPRP4 IN ('RRC','REC','RCB','TOL','PKG','RBW').</t>
  </si>
  <si>
    <t>Part requested-date window WMDRQJ BETWEEN today-7 and today+N business days (N=4 Thu/Fri, 3 Sat, else 2).</t>
  </si>
  <si>
    <t>On-hand (CINC): LILOTS IN (' ','-'), LIPQOH/10000 &gt; 0. SHORT test: on-hand NULL, 0, or &lt; SUM(open RM).</t>
  </si>
  <si>
    <t>Parity quirks reproduced on purpose: Total RM Needed double-counts across ' ' and '-' lot statuses; QTY OH in CINC uses AVG (not SUM) across lot statuses.</t>
  </si>
  <si>
    <t>Slicers</t>
  </si>
  <si>
    <t>(none) - report has no prompts/slicers; renders as-of last refresh.</t>
  </si>
  <si>
    <t>Links</t>
  </si>
  <si>
    <t>Power BI</t>
  </si>
  <si>
    <t>Pending publish to Power BI Service</t>
  </si>
  <si>
    <t>Michelman Reporting &gt; Production and Shipping &gt; Cogan Excel AD HOC Reports</t>
  </si>
  <si>
    <t>Report Location</t>
  </si>
  <si>
    <t>Note report uses JDE live data</t>
  </si>
  <si>
    <t>EDW</t>
  </si>
  <si>
    <t>RM Staging at Shell Road 2026 (ODS).pbix</t>
  </si>
  <si>
    <t>Comments</t>
  </si>
  <si>
    <t>VERDICT: CLEAN, confirmed post-refresh 2026-07-07. RM Requirements 6/6 rows exact; WorkOrder_Detail 22/22 rows match live same-day Cognos (screenshot), all 4 columns.</t>
  </si>
  <si>
    <t>Cognos Report</t>
  </si>
  <si>
    <t>As of 7/7/2026</t>
  </si>
  <si>
    <t>Sorted by RM. 6/6 rows (as of 7/7). Cognos values are the on-screen rounded display; PBI exact - ties within rounding.</t>
  </si>
  <si>
    <t>Compare</t>
  </si>
  <si>
    <t>RM</t>
  </si>
  <si>
    <t>AC629M</t>
  </si>
  <si>
    <t>5319</t>
  </si>
  <si>
    <t>20938</t>
  </si>
  <si>
    <t>15618</t>
  </si>
  <si>
    <t>5319.4</t>
  </si>
  <si>
    <t>20937.5</t>
  </si>
  <si>
    <t>15618.1</t>
  </si>
  <si>
    <t>AFEG8200G</t>
  </si>
  <si>
    <t>20720</t>
  </si>
  <si>
    <t>53196</t>
  </si>
  <si>
    <t>32476</t>
  </si>
  <si>
    <t>20720.15</t>
  </si>
  <si>
    <t>32475.85</t>
  </si>
  <si>
    <t>DMD5980I</t>
  </si>
  <si>
    <t>33791</t>
  </si>
  <si>
    <t>39264</t>
  </si>
  <si>
    <t>5473</t>
  </si>
  <si>
    <t>39263.89</t>
  </si>
  <si>
    <t>5472.89</t>
  </si>
  <si>
    <t>H1</t>
  </si>
  <si>
    <t>746</t>
  </si>
  <si>
    <t>12225</t>
  </si>
  <si>
    <t>11479</t>
  </si>
  <si>
    <t>745.7</t>
  </si>
  <si>
    <t>12224.8</t>
  </si>
  <si>
    <t>11479.1</t>
  </si>
  <si>
    <t>UN750</t>
  </si>
  <si>
    <t>537</t>
  </si>
  <si>
    <t>2575</t>
  </si>
  <si>
    <t>2038</t>
  </si>
  <si>
    <t>536.7</t>
  </si>
  <si>
    <t>2575.2</t>
  </si>
  <si>
    <t>2038.5</t>
  </si>
  <si>
    <t>XIRAN3000</t>
  </si>
  <si>
    <t>354</t>
  </si>
  <si>
    <t>405</t>
  </si>
  <si>
    <t>51</t>
  </si>
  <si>
    <t>Sorted by Work Order Start. 22/22 rows vs live 7/7 Cognos screenshot (Cognos sorts RM-within-day, PBI WO-within-day; same set).</t>
  </si>
  <si>
    <t>Work Order Start</t>
  </si>
  <si>
    <t>Raw Material</t>
  </si>
  <si>
    <t>WO Number</t>
  </si>
  <si>
    <t>FG Item</t>
  </si>
  <si>
    <t>7/6/2026</t>
  </si>
  <si>
    <t>4580827</t>
  </si>
  <si>
    <t>RHOB320</t>
  </si>
  <si>
    <t>7/7/2026</t>
  </si>
  <si>
    <t>4583251</t>
  </si>
  <si>
    <t>X3000H</t>
  </si>
  <si>
    <t>4583253</t>
  </si>
  <si>
    <t>7/8/2026</t>
  </si>
  <si>
    <t>4582701</t>
  </si>
  <si>
    <t>HYPOD8510</t>
  </si>
  <si>
    <t>4582702</t>
  </si>
  <si>
    <t>4583255</t>
  </si>
  <si>
    <t>4583256</t>
  </si>
  <si>
    <t>7/9/2026</t>
  </si>
  <si>
    <t>4583252</t>
  </si>
  <si>
    <t>4583254</t>
  </si>
  <si>
    <t>4583336</t>
  </si>
  <si>
    <t>4583400</t>
  </si>
  <si>
    <t>ME24035</t>
  </si>
  <si>
    <t>4583518</t>
  </si>
  <si>
    <t>7/10/2026</t>
  </si>
  <si>
    <t>4583337</t>
  </si>
  <si>
    <t>4583396</t>
  </si>
  <si>
    <t>LIQLUB405</t>
  </si>
  <si>
    <t>4583669</t>
  </si>
  <si>
    <t>ME52137I</t>
  </si>
  <si>
    <t>4583808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</si>
</sst>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workbookViewId="0">
      <selection activeCell="C40" sqref="C40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13</v>
      </c>
    </row>
    <row r="2" spans="1:3" x14ac:dyDescent="0.25">
      <c r="A2" s="2" t="s">
        <v>14</v>
      </c>
    </row>
    <row r="6" spans="1:3" x14ac:dyDescent="0.25">
      <c r="C6" s="3" t="s">
        <v>15</v>
      </c>
    </row>
    <row r="7" spans="1:3" x14ac:dyDescent="0.25">
      <c r="C7" s="2" t="s">
        <v>16</v>
      </c>
    </row>
    <row r="8" spans="1:3" x14ac:dyDescent="0.25">
      <c r="C8" s="2" t="s">
        <v>17</v>
      </c>
    </row>
    <row r="9" spans="1:3" x14ac:dyDescent="0.25">
      <c r="C9" s="2" t="s">
        <v>18</v>
      </c>
    </row>
    <row r="10" spans="1:3" x14ac:dyDescent="0.25">
      <c r="C10" s="2" t="s">
        <v>19</v>
      </c>
    </row>
    <row r="11" spans="1:3" x14ac:dyDescent="0.25">
      <c r="C11" s="2" t="s">
        <v>20</v>
      </c>
    </row>
    <row r="12" spans="1:3" x14ac:dyDescent="0.25">
      <c r="C12" s="2" t="s">
        <v>21</v>
      </c>
    </row>
    <row r="13" spans="1:3" x14ac:dyDescent="0.25">
      <c r="C13" s="2" t="s">
        <v>22</v>
      </c>
    </row>
    <row r="14" spans="1:3" x14ac:dyDescent="0.25">
      <c r="C14" s="2" t="s">
        <v>23</v>
      </c>
    </row>
    <row r="15" spans="1:3" x14ac:dyDescent="0.25">
      <c r="C15" s="2" t="s">
        <v>24</v>
      </c>
    </row>
    <row r="17" spans="3:4" x14ac:dyDescent="0.25">
      <c r="C17" s="3" t="s">
        <v>25</v>
      </c>
    </row>
    <row r="18" spans="3:4" x14ac:dyDescent="0.25">
      <c r="C18" s="2" t="s">
        <v>26</v>
      </c>
    </row>
    <row r="20" spans="3:4" x14ac:dyDescent="0.25">
      <c r="C20" s="3" t="s">
        <v>27</v>
      </c>
    </row>
    <row r="21" spans="3:4" x14ac:dyDescent="0.25">
      <c r="C21" s="2" t="s">
        <v>28</v>
      </c>
      <c r="D21" s="2" t="s">
        <v>29</v>
      </c>
    </row>
    <row r="22" spans="3:4" x14ac:dyDescent="0.25">
      <c r="C22" s="2" t="s">
        <v>6</v>
      </c>
      <c r="D22" s="2" t="s">
        <v>30</v>
      </c>
    </row>
    <row r="24" spans="3:4" x14ac:dyDescent="0.25">
      <c r="C24" s="3" t="s">
        <v>31</v>
      </c>
    </row>
    <row r="25" spans="3:4" x14ac:dyDescent="0.25">
      <c r="C25" s="2" t="s">
        <v>6</v>
      </c>
      <c r="D25" s="2" t="s">
        <v>30</v>
      </c>
    </row>
    <row r="26" spans="3:4" x14ac:dyDescent="0.25">
      <c r="D26" s="2" t="s">
        <v>32</v>
      </c>
    </row>
    <row r="27" spans="3:4" x14ac:dyDescent="0.25">
      <c r="C27" s="2" t="s">
        <v>33</v>
      </c>
      <c r="D27" s="2" t="s">
        <v>34</v>
      </c>
    </row>
    <row r="29" spans="3:4" x14ac:dyDescent="0.25">
      <c r="C29" s="3" t="s">
        <v>35</v>
      </c>
    </row>
    <row r="30" spans="3:4" x14ac:dyDescent="0.25">
      <c r="C30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showGridLines="0" tabSelected="1" workbookViewId="0">
      <pane ySplit="9" topLeftCell="A10" activePane="bottomLeft" state="frozen"/>
      <selection pane="bottomLeft" activeCell="B27" sqref="B27"/>
    </sheetView>
  </sheetViews>
  <sheetFormatPr defaultRowHeight="15" x14ac:dyDescent="0.25"/>
  <cols>
    <col min="1" max="1" width="46" customWidth="1"/>
    <col min="2" max="2" width="16" customWidth="1"/>
    <col min="3" max="3" width="17" customWidth="1"/>
    <col min="4" max="4" width="24" customWidth="1"/>
    <col min="6" max="6" width="9" customWidth="1"/>
    <col min="7" max="7" width="16" customWidth="1"/>
    <col min="8" max="8" width="17" customWidth="1"/>
    <col min="9" max="9" width="24" customWidth="1"/>
    <col min="11" max="11" width="11" customWidth="1"/>
    <col min="12" max="12" width="16" customWidth="1"/>
    <col min="13" max="13" width="17" customWidth="1"/>
    <col min="14" max="14" width="24" customWidth="1"/>
  </cols>
  <sheetData>
    <row r="1" spans="1:14" x14ac:dyDescent="0.25">
      <c r="A1" s="3" t="s">
        <v>37</v>
      </c>
    </row>
    <row r="2" spans="1:14" x14ac:dyDescent="0.25">
      <c r="A2" s="2" t="s">
        <v>38</v>
      </c>
    </row>
    <row r="4" spans="1:14" x14ac:dyDescent="0.25">
      <c r="A4" s="2" t="s">
        <v>39</v>
      </c>
    </row>
    <row r="7" spans="1:14" x14ac:dyDescent="0.25">
      <c r="A7" s="4" t="s">
        <v>6</v>
      </c>
      <c r="F7" s="4" t="s">
        <v>40</v>
      </c>
      <c r="K7" s="4" t="s">
        <v>10</v>
      </c>
    </row>
    <row r="9" spans="1:14" x14ac:dyDescent="0.25">
      <c r="A9" s="5" t="s">
        <v>41</v>
      </c>
      <c r="B9" s="5" t="s">
        <v>7</v>
      </c>
      <c r="C9" s="5" t="s">
        <v>8</v>
      </c>
      <c r="D9" s="5" t="s">
        <v>9</v>
      </c>
      <c r="F9" s="5" t="s">
        <v>41</v>
      </c>
      <c r="G9" s="5" t="s">
        <v>7</v>
      </c>
      <c r="H9" s="5" t="s">
        <v>8</v>
      </c>
      <c r="I9" s="5" t="s">
        <v>9</v>
      </c>
      <c r="K9" s="5" t="s">
        <v>41</v>
      </c>
      <c r="L9" s="5" t="s">
        <v>7</v>
      </c>
      <c r="M9" s="5" t="s">
        <v>8</v>
      </c>
      <c r="N9" s="5" t="s">
        <v>9</v>
      </c>
    </row>
    <row r="10" spans="1:14" x14ac:dyDescent="0.25">
      <c r="A10" s="2" t="s">
        <v>42</v>
      </c>
      <c r="B10" s="2" t="s">
        <v>43</v>
      </c>
      <c r="C10" s="2" t="s">
        <v>44</v>
      </c>
      <c r="D10" s="2" t="s">
        <v>45</v>
      </c>
      <c r="F10" s="2" t="b">
        <f t="shared" ref="F10:F15" si="0">A10=K10</f>
        <v>1</v>
      </c>
      <c r="G10" s="2" t="b">
        <f t="shared" ref="G10:I15" si="1">IFERROR(ABS(VALUE(B10)-VALUE(L10))&lt;=0.5,B10=L10)</f>
        <v>1</v>
      </c>
      <c r="H10" s="2" t="b">
        <f t="shared" si="1"/>
        <v>1</v>
      </c>
      <c r="I10" s="2" t="b">
        <f t="shared" si="1"/>
        <v>1</v>
      </c>
      <c r="K10" s="2" t="s">
        <v>42</v>
      </c>
      <c r="L10" s="2" t="s">
        <v>46</v>
      </c>
      <c r="M10" s="2" t="s">
        <v>47</v>
      </c>
      <c r="N10" s="2" t="s">
        <v>48</v>
      </c>
    </row>
    <row r="11" spans="1:14" x14ac:dyDescent="0.25">
      <c r="A11" s="2" t="s">
        <v>49</v>
      </c>
      <c r="B11" s="2" t="s">
        <v>50</v>
      </c>
      <c r="C11" s="2" t="s">
        <v>51</v>
      </c>
      <c r="D11" s="2" t="s">
        <v>52</v>
      </c>
      <c r="F11" s="2" t="b">
        <f t="shared" si="0"/>
        <v>1</v>
      </c>
      <c r="G11" s="2" t="b">
        <f t="shared" si="1"/>
        <v>1</v>
      </c>
      <c r="H11" s="2" t="b">
        <f t="shared" si="1"/>
        <v>1</v>
      </c>
      <c r="I11" s="2" t="b">
        <f t="shared" si="1"/>
        <v>1</v>
      </c>
      <c r="K11" s="2" t="s">
        <v>49</v>
      </c>
      <c r="L11" s="2" t="s">
        <v>53</v>
      </c>
      <c r="M11" s="2" t="s">
        <v>51</v>
      </c>
      <c r="N11" s="2" t="s">
        <v>54</v>
      </c>
    </row>
    <row r="12" spans="1:14" x14ac:dyDescent="0.25">
      <c r="A12" s="2" t="s">
        <v>55</v>
      </c>
      <c r="B12" s="2" t="s">
        <v>56</v>
      </c>
      <c r="C12" s="2" t="s">
        <v>57</v>
      </c>
      <c r="D12" s="2" t="s">
        <v>58</v>
      </c>
      <c r="F12" s="2" t="b">
        <f t="shared" si="0"/>
        <v>1</v>
      </c>
      <c r="G12" s="2" t="b">
        <f t="shared" si="1"/>
        <v>1</v>
      </c>
      <c r="H12" s="2" t="b">
        <f t="shared" si="1"/>
        <v>1</v>
      </c>
      <c r="I12" s="2" t="b">
        <f t="shared" si="1"/>
        <v>1</v>
      </c>
      <c r="K12" s="2" t="s">
        <v>55</v>
      </c>
      <c r="L12" s="2" t="s">
        <v>56</v>
      </c>
      <c r="M12" s="2" t="s">
        <v>59</v>
      </c>
      <c r="N12" s="2" t="s">
        <v>60</v>
      </c>
    </row>
    <row r="13" spans="1:14" x14ac:dyDescent="0.25">
      <c r="A13" s="2" t="s">
        <v>61</v>
      </c>
      <c r="B13" s="2" t="s">
        <v>62</v>
      </c>
      <c r="C13" s="2" t="s">
        <v>63</v>
      </c>
      <c r="D13" s="2" t="s">
        <v>64</v>
      </c>
      <c r="F13" s="2" t="b">
        <f t="shared" si="0"/>
        <v>1</v>
      </c>
      <c r="G13" s="2" t="b">
        <f t="shared" si="1"/>
        <v>1</v>
      </c>
      <c r="H13" s="2" t="b">
        <f t="shared" si="1"/>
        <v>1</v>
      </c>
      <c r="I13" s="2" t="b">
        <f t="shared" si="1"/>
        <v>1</v>
      </c>
      <c r="K13" s="2" t="s">
        <v>61</v>
      </c>
      <c r="L13" s="2" t="s">
        <v>65</v>
      </c>
      <c r="M13" s="2" t="s">
        <v>66</v>
      </c>
      <c r="N13" s="2" t="s">
        <v>67</v>
      </c>
    </row>
    <row r="14" spans="1:14" x14ac:dyDescent="0.25">
      <c r="A14" s="2" t="s">
        <v>68</v>
      </c>
      <c r="B14" s="2" t="s">
        <v>69</v>
      </c>
      <c r="C14" s="2" t="s">
        <v>70</v>
      </c>
      <c r="D14" s="2" t="s">
        <v>71</v>
      </c>
      <c r="F14" s="2" t="b">
        <f t="shared" si="0"/>
        <v>1</v>
      </c>
      <c r="G14" s="2" t="b">
        <f t="shared" si="1"/>
        <v>1</v>
      </c>
      <c r="H14" s="2" t="b">
        <f t="shared" si="1"/>
        <v>1</v>
      </c>
      <c r="I14" s="2" t="b">
        <f t="shared" si="1"/>
        <v>1</v>
      </c>
      <c r="K14" s="2" t="s">
        <v>68</v>
      </c>
      <c r="L14" s="2" t="s">
        <v>72</v>
      </c>
      <c r="M14" s="2" t="s">
        <v>73</v>
      </c>
      <c r="N14" s="2" t="s">
        <v>74</v>
      </c>
    </row>
    <row r="15" spans="1:14" x14ac:dyDescent="0.25">
      <c r="A15" s="2" t="s">
        <v>75</v>
      </c>
      <c r="B15" s="2" t="s">
        <v>76</v>
      </c>
      <c r="C15" s="2" t="s">
        <v>77</v>
      </c>
      <c r="D15" s="2" t="s">
        <v>78</v>
      </c>
      <c r="F15" s="2" t="b">
        <f t="shared" si="0"/>
        <v>1</v>
      </c>
      <c r="G15" s="2" t="b">
        <f t="shared" si="1"/>
        <v>1</v>
      </c>
      <c r="H15" s="2" t="b">
        <f t="shared" si="1"/>
        <v>1</v>
      </c>
      <c r="I15" s="2" t="b">
        <f t="shared" si="1"/>
        <v>1</v>
      </c>
      <c r="K15" s="2" t="s">
        <v>75</v>
      </c>
      <c r="L15" s="2" t="s">
        <v>76</v>
      </c>
      <c r="M15" s="2" t="s">
        <v>77</v>
      </c>
      <c r="N15" s="2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4" width="11" customWidth="1"/>
    <col min="6" max="6" width="18" customWidth="1"/>
    <col min="7" max="7" width="14" customWidth="1"/>
    <col min="8" max="8" width="11" customWidth="1"/>
    <col min="9" max="9" width="9" customWidth="1"/>
    <col min="11" max="11" width="18" customWidth="1"/>
    <col min="12" max="12" width="14" customWidth="1"/>
    <col min="13" max="14" width="11" customWidth="1"/>
  </cols>
  <sheetData>
    <row r="1" spans="1:14" x14ac:dyDescent="0.25">
      <c r="A1" s="3" t="s">
        <v>37</v>
      </c>
    </row>
    <row r="2" spans="1:14" x14ac:dyDescent="0.25">
      <c r="A2" s="2" t="s">
        <v>38</v>
      </c>
    </row>
    <row r="4" spans="1:14" x14ac:dyDescent="0.25">
      <c r="A4" s="2" t="s">
        <v>79</v>
      </c>
    </row>
    <row r="7" spans="1:14" x14ac:dyDescent="0.25">
      <c r="A7" s="4" t="s">
        <v>6</v>
      </c>
      <c r="F7" s="4" t="s">
        <v>40</v>
      </c>
      <c r="K7" s="4" t="s">
        <v>10</v>
      </c>
    </row>
    <row r="9" spans="1:14" x14ac:dyDescent="0.25">
      <c r="A9" s="5" t="s">
        <v>80</v>
      </c>
      <c r="B9" s="5" t="s">
        <v>81</v>
      </c>
      <c r="C9" s="5" t="s">
        <v>82</v>
      </c>
      <c r="D9" s="5" t="s">
        <v>83</v>
      </c>
      <c r="F9" s="5" t="s">
        <v>80</v>
      </c>
      <c r="G9" s="5" t="s">
        <v>81</v>
      </c>
      <c r="H9" s="5" t="s">
        <v>82</v>
      </c>
      <c r="I9" s="5" t="s">
        <v>83</v>
      </c>
      <c r="K9" s="5" t="s">
        <v>80</v>
      </c>
      <c r="L9" s="5" t="s">
        <v>81</v>
      </c>
      <c r="M9" s="5" t="s">
        <v>82</v>
      </c>
      <c r="N9" s="5" t="s">
        <v>83</v>
      </c>
    </row>
    <row r="10" spans="1:14" x14ac:dyDescent="0.25">
      <c r="A10" s="2" t="s">
        <v>84</v>
      </c>
      <c r="B10" s="2" t="s">
        <v>55</v>
      </c>
      <c r="C10" s="2" t="s">
        <v>85</v>
      </c>
      <c r="D10" s="2" t="s">
        <v>86</v>
      </c>
      <c r="F10" s="2" t="b">
        <f t="shared" ref="F10:F31" si="0">A10=K10</f>
        <v>1</v>
      </c>
      <c r="G10" s="2" t="b">
        <f t="shared" ref="G10:G31" si="1">B10=L10</f>
        <v>1</v>
      </c>
      <c r="H10" s="2" t="b">
        <f t="shared" ref="H10:H31" si="2">C10=M10</f>
        <v>1</v>
      </c>
      <c r="I10" s="2" t="b">
        <f t="shared" ref="I10:I31" si="3">D10=N10</f>
        <v>1</v>
      </c>
      <c r="K10" s="2" t="s">
        <v>84</v>
      </c>
      <c r="L10" s="2" t="s">
        <v>55</v>
      </c>
      <c r="M10" s="2" t="s">
        <v>85</v>
      </c>
      <c r="N10" s="2" t="s">
        <v>86</v>
      </c>
    </row>
    <row r="11" spans="1:14" x14ac:dyDescent="0.25">
      <c r="A11" s="2" t="s">
        <v>87</v>
      </c>
      <c r="B11" s="2" t="s">
        <v>75</v>
      </c>
      <c r="C11" s="2" t="s">
        <v>88</v>
      </c>
      <c r="D11" s="2" t="s">
        <v>89</v>
      </c>
      <c r="F11" s="2" t="b">
        <f t="shared" si="0"/>
        <v>1</v>
      </c>
      <c r="G11" s="2" t="b">
        <f t="shared" si="1"/>
        <v>1</v>
      </c>
      <c r="H11" s="2" t="b">
        <f t="shared" si="2"/>
        <v>1</v>
      </c>
      <c r="I11" s="2" t="b">
        <f t="shared" si="3"/>
        <v>1</v>
      </c>
      <c r="K11" s="2" t="s">
        <v>87</v>
      </c>
      <c r="L11" s="2" t="s">
        <v>75</v>
      </c>
      <c r="M11" s="2" t="s">
        <v>88</v>
      </c>
      <c r="N11" s="2" t="s">
        <v>89</v>
      </c>
    </row>
    <row r="12" spans="1:14" x14ac:dyDescent="0.25">
      <c r="A12" s="2" t="s">
        <v>87</v>
      </c>
      <c r="B12" s="2" t="s">
        <v>75</v>
      </c>
      <c r="C12" s="2" t="s">
        <v>90</v>
      </c>
      <c r="D12" s="2" t="s">
        <v>89</v>
      </c>
      <c r="F12" s="2" t="b">
        <f t="shared" si="0"/>
        <v>1</v>
      </c>
      <c r="G12" s="2" t="b">
        <f t="shared" si="1"/>
        <v>1</v>
      </c>
      <c r="H12" s="2" t="b">
        <f t="shared" si="2"/>
        <v>1</v>
      </c>
      <c r="I12" s="2" t="b">
        <f t="shared" si="3"/>
        <v>1</v>
      </c>
      <c r="K12" s="2" t="s">
        <v>87</v>
      </c>
      <c r="L12" s="2" t="s">
        <v>75</v>
      </c>
      <c r="M12" s="2" t="s">
        <v>90</v>
      </c>
      <c r="N12" s="2" t="s">
        <v>89</v>
      </c>
    </row>
    <row r="13" spans="1:14" x14ac:dyDescent="0.25">
      <c r="A13" s="2" t="s">
        <v>91</v>
      </c>
      <c r="B13" s="2" t="s">
        <v>49</v>
      </c>
      <c r="C13" s="2" t="s">
        <v>92</v>
      </c>
      <c r="D13" s="2" t="s">
        <v>93</v>
      </c>
      <c r="F13" s="2" t="b">
        <f t="shared" si="0"/>
        <v>1</v>
      </c>
      <c r="G13" s="2" t="b">
        <f t="shared" si="1"/>
        <v>1</v>
      </c>
      <c r="H13" s="2" t="b">
        <f t="shared" si="2"/>
        <v>1</v>
      </c>
      <c r="I13" s="2" t="b">
        <f t="shared" si="3"/>
        <v>1</v>
      </c>
      <c r="K13" s="2" t="s">
        <v>91</v>
      </c>
      <c r="L13" s="2" t="s">
        <v>49</v>
      </c>
      <c r="M13" s="2" t="s">
        <v>92</v>
      </c>
      <c r="N13" s="2" t="s">
        <v>93</v>
      </c>
    </row>
    <row r="14" spans="1:14" x14ac:dyDescent="0.25">
      <c r="A14" s="2" t="s">
        <v>91</v>
      </c>
      <c r="B14" s="2" t="s">
        <v>55</v>
      </c>
      <c r="C14" s="2" t="s">
        <v>92</v>
      </c>
      <c r="D14" s="2" t="s">
        <v>93</v>
      </c>
      <c r="F14" s="2" t="b">
        <f t="shared" si="0"/>
        <v>1</v>
      </c>
      <c r="G14" s="2" t="b">
        <f t="shared" si="1"/>
        <v>1</v>
      </c>
      <c r="H14" s="2" t="b">
        <f t="shared" si="2"/>
        <v>1</v>
      </c>
      <c r="I14" s="2" t="b">
        <f t="shared" si="3"/>
        <v>1</v>
      </c>
      <c r="K14" s="2" t="s">
        <v>91</v>
      </c>
      <c r="L14" s="2" t="s">
        <v>55</v>
      </c>
      <c r="M14" s="2" t="s">
        <v>92</v>
      </c>
      <c r="N14" s="2" t="s">
        <v>93</v>
      </c>
    </row>
    <row r="15" spans="1:14" x14ac:dyDescent="0.25">
      <c r="A15" s="2" t="s">
        <v>91</v>
      </c>
      <c r="B15" s="2" t="s">
        <v>49</v>
      </c>
      <c r="C15" s="2" t="s">
        <v>94</v>
      </c>
      <c r="D15" s="2" t="s">
        <v>93</v>
      </c>
      <c r="F15" s="2" t="b">
        <f t="shared" si="0"/>
        <v>1</v>
      </c>
      <c r="G15" s="2" t="b">
        <f t="shared" si="1"/>
        <v>1</v>
      </c>
      <c r="H15" s="2" t="b">
        <f t="shared" si="2"/>
        <v>1</v>
      </c>
      <c r="I15" s="2" t="b">
        <f t="shared" si="3"/>
        <v>1</v>
      </c>
      <c r="K15" s="2" t="s">
        <v>91</v>
      </c>
      <c r="L15" s="2" t="s">
        <v>49</v>
      </c>
      <c r="M15" s="2" t="s">
        <v>94</v>
      </c>
      <c r="N15" s="2" t="s">
        <v>93</v>
      </c>
    </row>
    <row r="16" spans="1:14" x14ac:dyDescent="0.25">
      <c r="A16" s="2" t="s">
        <v>91</v>
      </c>
      <c r="B16" s="2" t="s">
        <v>55</v>
      </c>
      <c r="C16" s="2" t="s">
        <v>94</v>
      </c>
      <c r="D16" s="2" t="s">
        <v>93</v>
      </c>
      <c r="F16" s="2" t="b">
        <f t="shared" si="0"/>
        <v>1</v>
      </c>
      <c r="G16" s="2" t="b">
        <f t="shared" si="1"/>
        <v>1</v>
      </c>
      <c r="H16" s="2" t="b">
        <f t="shared" si="2"/>
        <v>1</v>
      </c>
      <c r="I16" s="2" t="b">
        <f t="shared" si="3"/>
        <v>1</v>
      </c>
      <c r="K16" s="2" t="s">
        <v>91</v>
      </c>
      <c r="L16" s="2" t="s">
        <v>55</v>
      </c>
      <c r="M16" s="2" t="s">
        <v>94</v>
      </c>
      <c r="N16" s="2" t="s">
        <v>93</v>
      </c>
    </row>
    <row r="17" spans="1:14" x14ac:dyDescent="0.25">
      <c r="A17" s="2" t="s">
        <v>91</v>
      </c>
      <c r="B17" s="2" t="s">
        <v>75</v>
      </c>
      <c r="C17" s="2" t="s">
        <v>95</v>
      </c>
      <c r="D17" s="2" t="s">
        <v>89</v>
      </c>
      <c r="F17" s="2" t="b">
        <f t="shared" si="0"/>
        <v>1</v>
      </c>
      <c r="G17" s="2" t="b">
        <f t="shared" si="1"/>
        <v>1</v>
      </c>
      <c r="H17" s="2" t="b">
        <f t="shared" si="2"/>
        <v>1</v>
      </c>
      <c r="I17" s="2" t="b">
        <f t="shared" si="3"/>
        <v>1</v>
      </c>
      <c r="K17" s="2" t="s">
        <v>91</v>
      </c>
      <c r="L17" s="2" t="s">
        <v>75</v>
      </c>
      <c r="M17" s="2" t="s">
        <v>95</v>
      </c>
      <c r="N17" s="2" t="s">
        <v>89</v>
      </c>
    </row>
    <row r="18" spans="1:14" x14ac:dyDescent="0.25">
      <c r="A18" s="2" t="s">
        <v>91</v>
      </c>
      <c r="B18" s="2" t="s">
        <v>75</v>
      </c>
      <c r="C18" s="2" t="s">
        <v>96</v>
      </c>
      <c r="D18" s="2" t="s">
        <v>89</v>
      </c>
      <c r="F18" s="2" t="b">
        <f t="shared" si="0"/>
        <v>1</v>
      </c>
      <c r="G18" s="2" t="b">
        <f t="shared" si="1"/>
        <v>1</v>
      </c>
      <c r="H18" s="2" t="b">
        <f t="shared" si="2"/>
        <v>1</v>
      </c>
      <c r="I18" s="2" t="b">
        <f t="shared" si="3"/>
        <v>1</v>
      </c>
      <c r="K18" s="2" t="s">
        <v>91</v>
      </c>
      <c r="L18" s="2" t="s">
        <v>75</v>
      </c>
      <c r="M18" s="2" t="s">
        <v>96</v>
      </c>
      <c r="N18" s="2" t="s">
        <v>89</v>
      </c>
    </row>
    <row r="19" spans="1:14" x14ac:dyDescent="0.25">
      <c r="A19" s="2" t="s">
        <v>97</v>
      </c>
      <c r="B19" s="2" t="s">
        <v>75</v>
      </c>
      <c r="C19" s="2" t="s">
        <v>98</v>
      </c>
      <c r="D19" s="2" t="s">
        <v>89</v>
      </c>
      <c r="F19" s="2" t="b">
        <f t="shared" si="0"/>
        <v>1</v>
      </c>
      <c r="G19" s="2" t="b">
        <f t="shared" si="1"/>
        <v>1</v>
      </c>
      <c r="H19" s="2" t="b">
        <f t="shared" si="2"/>
        <v>1</v>
      </c>
      <c r="I19" s="2" t="b">
        <f t="shared" si="3"/>
        <v>1</v>
      </c>
      <c r="K19" s="2" t="s">
        <v>97</v>
      </c>
      <c r="L19" s="2" t="s">
        <v>75</v>
      </c>
      <c r="M19" s="2" t="s">
        <v>98</v>
      </c>
      <c r="N19" s="2" t="s">
        <v>89</v>
      </c>
    </row>
    <row r="20" spans="1:14" x14ac:dyDescent="0.25">
      <c r="A20" s="2" t="s">
        <v>97</v>
      </c>
      <c r="B20" s="2" t="s">
        <v>75</v>
      </c>
      <c r="C20" s="2" t="s">
        <v>99</v>
      </c>
      <c r="D20" s="2" t="s">
        <v>89</v>
      </c>
      <c r="F20" s="2" t="b">
        <f t="shared" si="0"/>
        <v>1</v>
      </c>
      <c r="G20" s="2" t="b">
        <f t="shared" si="1"/>
        <v>1</v>
      </c>
      <c r="H20" s="2" t="b">
        <f t="shared" si="2"/>
        <v>1</v>
      </c>
      <c r="I20" s="2" t="b">
        <f t="shared" si="3"/>
        <v>1</v>
      </c>
      <c r="K20" s="2" t="s">
        <v>97</v>
      </c>
      <c r="L20" s="2" t="s">
        <v>75</v>
      </c>
      <c r="M20" s="2" t="s">
        <v>99</v>
      </c>
      <c r="N20" s="2" t="s">
        <v>89</v>
      </c>
    </row>
    <row r="21" spans="1:14" x14ac:dyDescent="0.25">
      <c r="A21" s="2" t="s">
        <v>97</v>
      </c>
      <c r="B21" s="2" t="s">
        <v>49</v>
      </c>
      <c r="C21" s="2" t="s">
        <v>100</v>
      </c>
      <c r="D21" s="2" t="s">
        <v>93</v>
      </c>
      <c r="F21" s="2" t="b">
        <f t="shared" si="0"/>
        <v>1</v>
      </c>
      <c r="G21" s="2" t="b">
        <f t="shared" si="1"/>
        <v>1</v>
      </c>
      <c r="H21" s="2" t="b">
        <f t="shared" si="2"/>
        <v>1</v>
      </c>
      <c r="I21" s="2" t="b">
        <f t="shared" si="3"/>
        <v>1</v>
      </c>
      <c r="K21" s="2" t="s">
        <v>97</v>
      </c>
      <c r="L21" s="2" t="s">
        <v>49</v>
      </c>
      <c r="M21" s="2" t="s">
        <v>100</v>
      </c>
      <c r="N21" s="2" t="s">
        <v>93</v>
      </c>
    </row>
    <row r="22" spans="1:14" x14ac:dyDescent="0.25">
      <c r="A22" s="2" t="s">
        <v>97</v>
      </c>
      <c r="B22" s="2" t="s">
        <v>55</v>
      </c>
      <c r="C22" s="2" t="s">
        <v>100</v>
      </c>
      <c r="D22" s="2" t="s">
        <v>93</v>
      </c>
      <c r="F22" s="2" t="b">
        <f t="shared" si="0"/>
        <v>1</v>
      </c>
      <c r="G22" s="2" t="b">
        <f t="shared" si="1"/>
        <v>1</v>
      </c>
      <c r="H22" s="2" t="b">
        <f t="shared" si="2"/>
        <v>1</v>
      </c>
      <c r="I22" s="2" t="b">
        <f t="shared" si="3"/>
        <v>1</v>
      </c>
      <c r="K22" s="2" t="s">
        <v>97</v>
      </c>
      <c r="L22" s="2" t="s">
        <v>55</v>
      </c>
      <c r="M22" s="2" t="s">
        <v>100</v>
      </c>
      <c r="N22" s="2" t="s">
        <v>93</v>
      </c>
    </row>
    <row r="23" spans="1:14" x14ac:dyDescent="0.25">
      <c r="A23" s="2" t="s">
        <v>97</v>
      </c>
      <c r="B23" s="2" t="s">
        <v>42</v>
      </c>
      <c r="C23" s="2" t="s">
        <v>101</v>
      </c>
      <c r="D23" s="2" t="s">
        <v>102</v>
      </c>
      <c r="F23" s="2" t="b">
        <f t="shared" si="0"/>
        <v>1</v>
      </c>
      <c r="G23" s="2" t="b">
        <f t="shared" si="1"/>
        <v>1</v>
      </c>
      <c r="H23" s="2" t="b">
        <f t="shared" si="2"/>
        <v>1</v>
      </c>
      <c r="I23" s="2" t="b">
        <f t="shared" si="3"/>
        <v>1</v>
      </c>
      <c r="K23" s="2" t="s">
        <v>97</v>
      </c>
      <c r="L23" s="2" t="s">
        <v>42</v>
      </c>
      <c r="M23" s="2" t="s">
        <v>101</v>
      </c>
      <c r="N23" s="2" t="s">
        <v>102</v>
      </c>
    </row>
    <row r="24" spans="1:14" x14ac:dyDescent="0.25">
      <c r="A24" s="2" t="s">
        <v>97</v>
      </c>
      <c r="B24" s="2" t="s">
        <v>49</v>
      </c>
      <c r="C24" s="2" t="s">
        <v>103</v>
      </c>
      <c r="D24" s="2" t="s">
        <v>93</v>
      </c>
      <c r="F24" s="2" t="b">
        <f t="shared" si="0"/>
        <v>1</v>
      </c>
      <c r="G24" s="2" t="b">
        <f t="shared" si="1"/>
        <v>1</v>
      </c>
      <c r="H24" s="2" t="b">
        <f t="shared" si="2"/>
        <v>1</v>
      </c>
      <c r="I24" s="2" t="b">
        <f t="shared" si="3"/>
        <v>1</v>
      </c>
      <c r="K24" s="2" t="s">
        <v>97</v>
      </c>
      <c r="L24" s="2" t="s">
        <v>49</v>
      </c>
      <c r="M24" s="2" t="s">
        <v>103</v>
      </c>
      <c r="N24" s="2" t="s">
        <v>93</v>
      </c>
    </row>
    <row r="25" spans="1:14" x14ac:dyDescent="0.25">
      <c r="A25" s="2" t="s">
        <v>97</v>
      </c>
      <c r="B25" s="2" t="s">
        <v>55</v>
      </c>
      <c r="C25" s="2" t="s">
        <v>103</v>
      </c>
      <c r="D25" s="2" t="s">
        <v>93</v>
      </c>
      <c r="F25" s="2" t="b">
        <f t="shared" si="0"/>
        <v>1</v>
      </c>
      <c r="G25" s="2" t="b">
        <f t="shared" si="1"/>
        <v>1</v>
      </c>
      <c r="H25" s="2" t="b">
        <f t="shared" si="2"/>
        <v>1</v>
      </c>
      <c r="I25" s="2" t="b">
        <f t="shared" si="3"/>
        <v>1</v>
      </c>
      <c r="K25" s="2" t="s">
        <v>97</v>
      </c>
      <c r="L25" s="2" t="s">
        <v>55</v>
      </c>
      <c r="M25" s="2" t="s">
        <v>103</v>
      </c>
      <c r="N25" s="2" t="s">
        <v>93</v>
      </c>
    </row>
    <row r="26" spans="1:14" x14ac:dyDescent="0.25">
      <c r="A26" s="2" t="s">
        <v>104</v>
      </c>
      <c r="B26" s="2" t="s">
        <v>49</v>
      </c>
      <c r="C26" s="2" t="s">
        <v>105</v>
      </c>
      <c r="D26" s="2" t="s">
        <v>93</v>
      </c>
      <c r="F26" s="2" t="b">
        <f t="shared" si="0"/>
        <v>1</v>
      </c>
      <c r="G26" s="2" t="b">
        <f t="shared" si="1"/>
        <v>1</v>
      </c>
      <c r="H26" s="2" t="b">
        <f t="shared" si="2"/>
        <v>1</v>
      </c>
      <c r="I26" s="2" t="b">
        <f t="shared" si="3"/>
        <v>1</v>
      </c>
      <c r="K26" s="2" t="s">
        <v>104</v>
      </c>
      <c r="L26" s="2" t="s">
        <v>49</v>
      </c>
      <c r="M26" s="2" t="s">
        <v>105</v>
      </c>
      <c r="N26" s="2" t="s">
        <v>93</v>
      </c>
    </row>
    <row r="27" spans="1:14" x14ac:dyDescent="0.25">
      <c r="A27" s="2" t="s">
        <v>104</v>
      </c>
      <c r="B27" s="2" t="s">
        <v>55</v>
      </c>
      <c r="C27" s="2" t="s">
        <v>105</v>
      </c>
      <c r="D27" s="2" t="s">
        <v>93</v>
      </c>
      <c r="F27" s="2" t="b">
        <f t="shared" si="0"/>
        <v>1</v>
      </c>
      <c r="G27" s="2" t="b">
        <f t="shared" si="1"/>
        <v>1</v>
      </c>
      <c r="H27" s="2" t="b">
        <f t="shared" si="2"/>
        <v>1</v>
      </c>
      <c r="I27" s="2" t="b">
        <f t="shared" si="3"/>
        <v>1</v>
      </c>
      <c r="K27" s="2" t="s">
        <v>104</v>
      </c>
      <c r="L27" s="2" t="s">
        <v>55</v>
      </c>
      <c r="M27" s="2" t="s">
        <v>105</v>
      </c>
      <c r="N27" s="2" t="s">
        <v>93</v>
      </c>
    </row>
    <row r="28" spans="1:14" x14ac:dyDescent="0.25">
      <c r="A28" s="2" t="s">
        <v>104</v>
      </c>
      <c r="B28" s="2" t="s">
        <v>61</v>
      </c>
      <c r="C28" s="2" t="s">
        <v>106</v>
      </c>
      <c r="D28" s="2" t="s">
        <v>107</v>
      </c>
      <c r="F28" s="2" t="b">
        <f t="shared" si="0"/>
        <v>1</v>
      </c>
      <c r="G28" s="2" t="b">
        <f t="shared" si="1"/>
        <v>1</v>
      </c>
      <c r="H28" s="2" t="b">
        <f t="shared" si="2"/>
        <v>1</v>
      </c>
      <c r="I28" s="2" t="b">
        <f t="shared" si="3"/>
        <v>1</v>
      </c>
      <c r="K28" s="2" t="s">
        <v>104</v>
      </c>
      <c r="L28" s="2" t="s">
        <v>61</v>
      </c>
      <c r="M28" s="2" t="s">
        <v>106</v>
      </c>
      <c r="N28" s="2" t="s">
        <v>107</v>
      </c>
    </row>
    <row r="29" spans="1:14" x14ac:dyDescent="0.25">
      <c r="A29" s="2" t="s">
        <v>104</v>
      </c>
      <c r="B29" s="2" t="s">
        <v>68</v>
      </c>
      <c r="C29" s="2" t="s">
        <v>106</v>
      </c>
      <c r="D29" s="2" t="s">
        <v>107</v>
      </c>
      <c r="F29" s="2" t="b">
        <f t="shared" si="0"/>
        <v>1</v>
      </c>
      <c r="G29" s="2" t="b">
        <f t="shared" si="1"/>
        <v>1</v>
      </c>
      <c r="H29" s="2" t="b">
        <f t="shared" si="2"/>
        <v>1</v>
      </c>
      <c r="I29" s="2" t="b">
        <f t="shared" si="3"/>
        <v>1</v>
      </c>
      <c r="K29" s="2" t="s">
        <v>104</v>
      </c>
      <c r="L29" s="2" t="s">
        <v>68</v>
      </c>
      <c r="M29" s="2" t="s">
        <v>106</v>
      </c>
      <c r="N29" s="2" t="s">
        <v>107</v>
      </c>
    </row>
    <row r="30" spans="1:14" x14ac:dyDescent="0.25">
      <c r="A30" s="2" t="s">
        <v>104</v>
      </c>
      <c r="B30" s="2" t="s">
        <v>42</v>
      </c>
      <c r="C30" s="2" t="s">
        <v>108</v>
      </c>
      <c r="D30" s="2" t="s">
        <v>109</v>
      </c>
      <c r="F30" s="2" t="b">
        <f t="shared" si="0"/>
        <v>1</v>
      </c>
      <c r="G30" s="2" t="b">
        <f t="shared" si="1"/>
        <v>1</v>
      </c>
      <c r="H30" s="2" t="b">
        <f t="shared" si="2"/>
        <v>1</v>
      </c>
      <c r="I30" s="2" t="b">
        <f t="shared" si="3"/>
        <v>1</v>
      </c>
      <c r="K30" s="2" t="s">
        <v>104</v>
      </c>
      <c r="L30" s="2" t="s">
        <v>42</v>
      </c>
      <c r="M30" s="2" t="s">
        <v>108</v>
      </c>
      <c r="N30" s="2" t="s">
        <v>109</v>
      </c>
    </row>
    <row r="31" spans="1:14" x14ac:dyDescent="0.25">
      <c r="A31" s="2" t="s">
        <v>104</v>
      </c>
      <c r="B31" s="2" t="s">
        <v>42</v>
      </c>
      <c r="C31" s="2" t="s">
        <v>110</v>
      </c>
      <c r="D31" s="2" t="s">
        <v>109</v>
      </c>
      <c r="F31" s="2" t="b">
        <f t="shared" si="0"/>
        <v>1</v>
      </c>
      <c r="G31" s="2" t="b">
        <f t="shared" si="1"/>
        <v>1</v>
      </c>
      <c r="H31" s="2" t="b">
        <f t="shared" si="2"/>
        <v>1</v>
      </c>
      <c r="I31" s="2" t="b">
        <f t="shared" si="3"/>
        <v>1</v>
      </c>
      <c r="K31" s="2" t="s">
        <v>104</v>
      </c>
      <c r="L31" s="2" t="s">
        <v>42</v>
      </c>
      <c r="M31" s="2" t="s">
        <v>110</v>
      </c>
      <c r="N31" s="2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C27" sqref="C27"/>
    </sheetView>
  </sheetViews>
  <sheetFormatPr defaultRowHeight="15" x14ac:dyDescent="0.25"/>
  <cols>
    <col min="1" max="1" width="46" customWidth="1"/>
    <col min="2" max="2" width="26" customWidth="1"/>
    <col min="3" max="3" width="46" customWidth="1"/>
    <col min="4" max="4" width="24" customWidth="1"/>
  </cols>
  <sheetData>
    <row r="1" spans="1:4" x14ac:dyDescent="0.25">
      <c r="A1" s="3" t="s">
        <v>0</v>
      </c>
      <c r="B1" s="3" t="s">
        <v>1</v>
      </c>
    </row>
    <row r="2" spans="1:4" x14ac:dyDescent="0.25">
      <c r="A2" s="2" t="s">
        <v>2</v>
      </c>
    </row>
    <row r="4" spans="1:4" x14ac:dyDescent="0.25">
      <c r="A4" s="3" t="s">
        <v>3</v>
      </c>
    </row>
    <row r="5" spans="1:4" x14ac:dyDescent="0.25">
      <c r="A5" s="2" t="s">
        <v>2</v>
      </c>
    </row>
    <row r="7" spans="1:4" x14ac:dyDescent="0.25">
      <c r="C7" s="2" t="s">
        <v>4</v>
      </c>
    </row>
    <row r="8" spans="1:4" x14ac:dyDescent="0.25">
      <c r="C8" s="2" t="s">
        <v>5</v>
      </c>
    </row>
    <row r="11" spans="1:4" x14ac:dyDescent="0.25">
      <c r="A11" s="3" t="s">
        <v>6</v>
      </c>
      <c r="B11" s="2" t="s">
        <v>7</v>
      </c>
      <c r="C11" s="2" t="s">
        <v>8</v>
      </c>
      <c r="D11" s="2" t="s">
        <v>9</v>
      </c>
    </row>
    <row r="12" spans="1:4" x14ac:dyDescent="0.25">
      <c r="A12" s="3" t="s">
        <v>10</v>
      </c>
      <c r="B12" s="2" t="s">
        <v>11</v>
      </c>
      <c r="C12" s="2" t="s">
        <v>8</v>
      </c>
      <c r="D12" s="2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2532AD3-066A-41DE-9C8B-70A5095C98FA}"/>
</file>

<file path=customXml/itemProps2.xml><?xml version="1.0" encoding="utf-8"?>
<ds:datastoreItem xmlns:ds="http://schemas.openxmlformats.org/officeDocument/2006/customXml" ds:itemID="{0CF17D4E-D6E1-4288-9F02-6F839026F1EF}"/>
</file>

<file path=customXml/itemProps3.xml><?xml version="1.0" encoding="utf-8"?>
<ds:datastoreItem xmlns:ds="http://schemas.openxmlformats.org/officeDocument/2006/customXml" ds:itemID="{36BCD399-65C3-4FB8-B652-EC60A1FBB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Comparison - RM Requirements</vt:lpstr>
      <vt:lpstr>Comparison - Work Order Detail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2026-07-07T14:53:30Z</dcterms:created>
  <dcterms:modified xsi:type="dcterms:W3CDTF">2026-07-18T01:42:27Z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