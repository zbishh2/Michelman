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Zack\Documents\Code\michelman\Cognos Reports\Excel Validation\_report_out\"/>
    </mc:Choice>
  </mc:AlternateContent>
  <xr:revisionPtr revIDLastSave="0" documentId="13_ncr:1_{7957DB97-DDEE-4F73-9CC1-788D776275A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Notes" sheetId="1" r:id="rId1"/>
    <sheet name="Comparison" sheetId="2" r:id="rId2"/>
    <sheet name="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47" i="2" l="1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</calcChain>
</file>

<file path=xl/sharedStrings.xml><?xml version="1.0" encoding="utf-8"?>
<sst xmlns="http://schemas.openxmlformats.org/spreadsheetml/2006/main" count="1305" uniqueCount="352">
  <si>
    <t>Order # | Line # | Item</t>
  </si>
  <si>
    <t>in Cognos but not in PBI</t>
  </si>
  <si>
    <t>(none)</t>
  </si>
  <si>
    <t>in PBI but not in Cognos</t>
  </si>
  <si>
    <t>No residuals - 38 distinct keys, all present and fully matched on both sides. REGION (PBI slicer column) intentionally excluded from the compare.</t>
  </si>
  <si>
    <t>Cognos</t>
  </si>
  <si>
    <t>QTY / 2nd QTY</t>
  </si>
  <si>
    <t>UOM / 2nd UOM</t>
  </si>
  <si>
    <t>PBI</t>
  </si>
  <si>
    <t>Primary Quantity / Secondary Quantity</t>
  </si>
  <si>
    <t>Primary UOM / Secondary UOM</t>
  </si>
  <si>
    <t>Cognos Migration - Report ID 325 - CM - Open Sales Orders Live</t>
  </si>
  <si>
    <t>Data revised 7/6/2026</t>
  </si>
  <si>
    <t>Cognos filters</t>
  </si>
  <si>
    <t>SDNXTR NOT IN ('999') (open orders) - the only baked filter.</t>
  </si>
  <si>
    <t>No company filter (both 00010 and 00020 appear).</t>
  </si>
  <si>
    <t>Bulk-item whitelist: 76-code Bulk_Item IN (...) (incl. DPE3500.E, JS037, HP401, HSCF410, UNYTEC201).</t>
  </si>
  <si>
    <t>Optional prompts NOT applied in this export (default = all): Promised-Ship date range; Region single-select.</t>
  </si>
  <si>
    <t>Slicers</t>
  </si>
  <si>
    <t>Select the Region - single-select dropdown on REGION (Americas, Aubange, Shanghai, Singapore, Mumbai); optional, default = all.</t>
  </si>
  <si>
    <t>Enter the Date Range - Between (range) slicer on Promised Ship; optional, default = full range.</t>
  </si>
  <si>
    <t>Links</t>
  </si>
  <si>
    <t>Power BI</t>
  </si>
  <si>
    <t>Pending publish to Power BI Service</t>
  </si>
  <si>
    <t>Michelman Reporting &gt; Production and Shipping &gt; Contract Manufacturing Orders &gt; Dashboard - CM Overview LIVE</t>
  </si>
  <si>
    <t>Report Location</t>
  </si>
  <si>
    <t>Note report uses JDE live data</t>
  </si>
  <si>
    <t>EDW</t>
  </si>
  <si>
    <t>CM Overview LIVE.pbix, page "CM Open Sales Orders"</t>
  </si>
  <si>
    <t>Comments</t>
  </si>
  <si>
    <t>VERDICT: CLEAN. 38/38 rows match 1:1 across all 16 visible columns; 100% match rate; zero real and zero cosmetic-only mismatches.</t>
  </si>
  <si>
    <t>Cognos Report</t>
  </si>
  <si>
    <t>As of 7/6/2026</t>
  </si>
  <si>
    <t>Sorted by Promised Ship, Order #, Line #. 38/38 rows match; every flag = 1.</t>
  </si>
  <si>
    <t>Compare</t>
  </si>
  <si>
    <t>Company</t>
  </si>
  <si>
    <t>Branch</t>
  </si>
  <si>
    <t>Order #</t>
  </si>
  <si>
    <t>Line #</t>
  </si>
  <si>
    <t>Customer PO</t>
  </si>
  <si>
    <t>Order Date</t>
  </si>
  <si>
    <t>Requested</t>
  </si>
  <si>
    <t>Promised Ship</t>
  </si>
  <si>
    <t>Item</t>
  </si>
  <si>
    <t>Next Status</t>
  </si>
  <si>
    <t>QTY</t>
  </si>
  <si>
    <t>UOM</t>
  </si>
  <si>
    <t>2nd QTY</t>
  </si>
  <si>
    <t>2nd UOM</t>
  </si>
  <si>
    <t>Customer Name</t>
  </si>
  <si>
    <t>TM Name</t>
  </si>
  <si>
    <t>00020</t>
  </si>
  <si>
    <t>AUBA</t>
  </si>
  <si>
    <t>26000713</t>
  </si>
  <si>
    <t>1</t>
  </si>
  <si>
    <t>204424</t>
  </si>
  <si>
    <t>2026-04-09</t>
  </si>
  <si>
    <t>2026-07-02</t>
  </si>
  <si>
    <t>2026-07-06</t>
  </si>
  <si>
    <t>MDU4075B.E-TO</t>
  </si>
  <si>
    <t>570</t>
  </si>
  <si>
    <t>1000</t>
  </si>
  <si>
    <t>KG</t>
  </si>
  <si>
    <t>TO</t>
  </si>
  <si>
    <t>Safic UK (S) CHESHIRE GB</t>
  </si>
  <si>
    <t>Vanderstappen, Luc</t>
  </si>
  <si>
    <t>4/9/2026 12:00:00 AM</t>
  </si>
  <si>
    <t>7/2/2026 12:00:00 AM</t>
  </si>
  <si>
    <t>7/6/2026 12:00:00 AM</t>
  </si>
  <si>
    <t>26001058</t>
  </si>
  <si>
    <t>28445749-1</t>
  </si>
  <si>
    <t>2026-06-03</t>
  </si>
  <si>
    <t>2026-06-17</t>
  </si>
  <si>
    <t>HP1632-PL</t>
  </si>
  <si>
    <t>530</t>
  </si>
  <si>
    <t>145.5049</t>
  </si>
  <si>
    <t>LB</t>
  </si>
  <si>
    <t>3.6376</t>
  </si>
  <si>
    <t>PL</t>
  </si>
  <si>
    <t>Coats (X) Nilufer TR</t>
  </si>
  <si>
    <t>Vast, Laurence</t>
  </si>
  <si>
    <t>6/3/2026 12:00:00 AM</t>
  </si>
  <si>
    <t>6/17/2026 12:00:00 AM</t>
  </si>
  <si>
    <t>00010</t>
  </si>
  <si>
    <t>CIN2</t>
  </si>
  <si>
    <t>2696503</t>
  </si>
  <si>
    <t>2</t>
  </si>
  <si>
    <t>PO1338</t>
  </si>
  <si>
    <t>2026-05-13</t>
  </si>
  <si>
    <t>2026-05-27</t>
  </si>
  <si>
    <t>2026-07-07</t>
  </si>
  <si>
    <t>U2022-OP</t>
  </si>
  <si>
    <t>540</t>
  </si>
  <si>
    <t>450</t>
  </si>
  <si>
    <t>DR</t>
  </si>
  <si>
    <t>Teijin Carbon America - Rockwood, TN</t>
  </si>
  <si>
    <t>Hankins, Samuel</t>
  </si>
  <si>
    <t>5/13/2026 12:00:00 AM</t>
  </si>
  <si>
    <t>5/27/2026 12:00:00 AM</t>
  </si>
  <si>
    <t>7/7/2026 12:00:00 AM</t>
  </si>
  <si>
    <t>2697383</t>
  </si>
  <si>
    <t>PO1339</t>
  </si>
  <si>
    <t>2026-05-14</t>
  </si>
  <si>
    <t>2700</t>
  </si>
  <si>
    <t>6</t>
  </si>
  <si>
    <t>5/14/2026 12:00:00 AM</t>
  </si>
  <si>
    <t>2701214</t>
  </si>
  <si>
    <t>4000006363</t>
  </si>
  <si>
    <t>2026-05-19</t>
  </si>
  <si>
    <t>560</t>
  </si>
  <si>
    <t>3600</t>
  </si>
  <si>
    <t>8</t>
  </si>
  <si>
    <t>William Barnet  &amp; Son - Spartanburg, SC</t>
  </si>
  <si>
    <t>5/19/2026 12:00:00 AM</t>
  </si>
  <si>
    <t>26000631</t>
  </si>
  <si>
    <t>1104433</t>
  </si>
  <si>
    <t>2026-03-27</t>
  </si>
  <si>
    <t>2026-04-23</t>
  </si>
  <si>
    <t>3000</t>
  </si>
  <si>
    <t>3</t>
  </si>
  <si>
    <t>Keyser &amp; Mackay (S) Rhenen, NL</t>
  </si>
  <si>
    <t>3/27/2026 12:00:00 AM</t>
  </si>
  <si>
    <t>4/23/2026 12:00:00 AM</t>
  </si>
  <si>
    <t>26000814</t>
  </si>
  <si>
    <t>4500923409</t>
  </si>
  <si>
    <t>2026-04-24</t>
  </si>
  <si>
    <t>2026-06-29</t>
  </si>
  <si>
    <t>U802.E-TO</t>
  </si>
  <si>
    <t>2000</t>
  </si>
  <si>
    <t>Johns Manville (X) Trnava SK</t>
  </si>
  <si>
    <t>Chabanne, Philippe</t>
  </si>
  <si>
    <t>4/24/2026 12:00:00 AM</t>
  </si>
  <si>
    <t>6/29/2026 12:00:00 AM</t>
  </si>
  <si>
    <t>26000959</t>
  </si>
  <si>
    <t>4500928344</t>
  </si>
  <si>
    <t>2026-05-20</t>
  </si>
  <si>
    <t>U502.E-TO</t>
  </si>
  <si>
    <t>5/20/2026 12:00:00 AM</t>
  </si>
  <si>
    <t>1.001</t>
  </si>
  <si>
    <t>26001075</t>
  </si>
  <si>
    <t>4500149149</t>
  </si>
  <si>
    <t>2026-06-04</t>
  </si>
  <si>
    <t>6000</t>
  </si>
  <si>
    <t>Tanatex Chemicals (S) Ede NL</t>
  </si>
  <si>
    <t>6/4/2026 12:00:00 AM</t>
  </si>
  <si>
    <t>2728310</t>
  </si>
  <si>
    <t>260623-PAID CC</t>
  </si>
  <si>
    <t>2026-06-24</t>
  </si>
  <si>
    <t>2026-06-25</t>
  </si>
  <si>
    <t>2026-07-13</t>
  </si>
  <si>
    <t>U2022-PL</t>
  </si>
  <si>
    <t>960</t>
  </si>
  <si>
    <t>24</t>
  </si>
  <si>
    <t>Nitech Corp. -  Taylorsville, NC</t>
  </si>
  <si>
    <t>Patton, Tammy</t>
  </si>
  <si>
    <t>6/24/2026 12:00:00 AM</t>
  </si>
  <si>
    <t>6/25/2026 12:00:00 AM</t>
  </si>
  <si>
    <t>7/13/2026 12:00:00 AM</t>
  </si>
  <si>
    <t>26000980</t>
  </si>
  <si>
    <t>4830107094</t>
  </si>
  <si>
    <t>2026-05-22</t>
  </si>
  <si>
    <t>DPE3500-T2</t>
  </si>
  <si>
    <t>13800</t>
  </si>
  <si>
    <t>Clairefontaine (X) Clairefontaine FR</t>
  </si>
  <si>
    <t>Mahy, Marie-Annette</t>
  </si>
  <si>
    <t>5/22/2026 12:00:00 AM</t>
  </si>
  <si>
    <t>26001255</t>
  </si>
  <si>
    <t>228149</t>
  </si>
  <si>
    <t>2026-07-03</t>
  </si>
  <si>
    <t>2026-07-14</t>
  </si>
  <si>
    <t>MDU2012B.E-LP</t>
  </si>
  <si>
    <t>480</t>
  </si>
  <si>
    <t>4</t>
  </si>
  <si>
    <t>Safic (X) Lainate IT</t>
  </si>
  <si>
    <t>7/3/2026 12:00:00 AM</t>
  </si>
  <si>
    <t>7/14/2026 12:00:00 AM</t>
  </si>
  <si>
    <t>2723346</t>
  </si>
  <si>
    <t>PO023356</t>
  </si>
  <si>
    <t>2026-07-17</t>
  </si>
  <si>
    <t>1800</t>
  </si>
  <si>
    <t>Mitsubishi Chemical - Sacramento, CA</t>
  </si>
  <si>
    <t>Schloerb, Brendan</t>
  </si>
  <si>
    <t>7/17/2026 12:00:00 AM</t>
  </si>
  <si>
    <t>2681222</t>
  </si>
  <si>
    <t>291477</t>
  </si>
  <si>
    <t>2026-07-21</t>
  </si>
  <si>
    <t>U501-OP</t>
  </si>
  <si>
    <t>18450</t>
  </si>
  <si>
    <t>41</t>
  </si>
  <si>
    <t>AGY Aiken - Aiken, SC</t>
  </si>
  <si>
    <t>7/21/2026 12:00:00 AM</t>
  </si>
  <si>
    <t>2695060</t>
  </si>
  <si>
    <t>4500926476</t>
  </si>
  <si>
    <t>2026-05-11</t>
  </si>
  <si>
    <t>2026-07-09</t>
  </si>
  <si>
    <t>U701-OP</t>
  </si>
  <si>
    <t>18000</t>
  </si>
  <si>
    <t>40</t>
  </si>
  <si>
    <t>Johns Manville - Waterville, OH(River)</t>
  </si>
  <si>
    <t>5/11/2026 12:00:00 AM</t>
  </si>
  <si>
    <t>7/9/2026 12:00:00 AM</t>
  </si>
  <si>
    <t>26001268</t>
  </si>
  <si>
    <t>4500149670</t>
  </si>
  <si>
    <t>2026-07-23</t>
  </si>
  <si>
    <t>MDU4075B.E-LP</t>
  </si>
  <si>
    <t>15</t>
  </si>
  <si>
    <t>7/23/2026 12:00:00 AM</t>
  </si>
  <si>
    <t>2695179</t>
  </si>
  <si>
    <t>4500926524</t>
  </si>
  <si>
    <t>2026-07-24</t>
  </si>
  <si>
    <t>U502-OP</t>
  </si>
  <si>
    <t>5400</t>
  </si>
  <si>
    <t>12</t>
  </si>
  <si>
    <t>7/24/2026 12:00:00 AM</t>
  </si>
  <si>
    <t>2722552</t>
  </si>
  <si>
    <t>42034</t>
  </si>
  <si>
    <t>2026-06-16</t>
  </si>
  <si>
    <t>2300</t>
  </si>
  <si>
    <t>Monadnock Paper - Bennington, NH</t>
  </si>
  <si>
    <t>Jeffers, David</t>
  </si>
  <si>
    <t>6/16/2026 12:00:00 AM</t>
  </si>
  <si>
    <t>26001053</t>
  </si>
  <si>
    <t>54366</t>
  </si>
  <si>
    <t>2026-06-02</t>
  </si>
  <si>
    <t>2026-07-27</t>
  </si>
  <si>
    <t>FlaektGroup (S) Joenkoeping SE</t>
  </si>
  <si>
    <t>6/2/2026 12:00:00 AM</t>
  </si>
  <si>
    <t>7/27/2026 12:00:00 AM</t>
  </si>
  <si>
    <t>25002345</t>
  </si>
  <si>
    <t>T012049</t>
  </si>
  <si>
    <t>2025-12-03</t>
  </si>
  <si>
    <t>2026-05-26</t>
  </si>
  <si>
    <t>2026-07-29</t>
  </si>
  <si>
    <t>HP1632-T2</t>
  </si>
  <si>
    <t>535</t>
  </si>
  <si>
    <t>13230</t>
  </si>
  <si>
    <t>Technical Fibre (X) Cumbria GB</t>
  </si>
  <si>
    <t>12/3/2025 12:00:00 AM</t>
  </si>
  <si>
    <t>5/26/2026 12:00:00 AM</t>
  </si>
  <si>
    <t>7/29/2026 12:00:00 AM</t>
  </si>
  <si>
    <t>2724561</t>
  </si>
  <si>
    <t>42045</t>
  </si>
  <si>
    <t>2026-06-19</t>
  </si>
  <si>
    <t>2026-07-30</t>
  </si>
  <si>
    <t>6/19/2026 12:00:00 AM</t>
  </si>
  <si>
    <t>7/30/2026 12:00:00 AM</t>
  </si>
  <si>
    <t>26000997</t>
  </si>
  <si>
    <t>260136-2</t>
  </si>
  <si>
    <t>2026-08-03</t>
  </si>
  <si>
    <t>Soconomar (S) Piacenza IT</t>
  </si>
  <si>
    <t>Vanderstiggel, Krist</t>
  </si>
  <si>
    <t>8/3/2026 12:00:00 AM</t>
  </si>
  <si>
    <t>2723347</t>
  </si>
  <si>
    <t>4500933564</t>
  </si>
  <si>
    <t>2026-08-13</t>
  </si>
  <si>
    <t>8/13/2026 12:00:00 AM</t>
  </si>
  <si>
    <t>2733551</t>
  </si>
  <si>
    <t>PO1344</t>
  </si>
  <si>
    <t>2026-07-01</t>
  </si>
  <si>
    <t>2026-08-21</t>
  </si>
  <si>
    <t>2250</t>
  </si>
  <si>
    <t>5</t>
  </si>
  <si>
    <t>7/1/2026 12:00:00 AM</t>
  </si>
  <si>
    <t>8/21/2026 12:00:00 AM</t>
  </si>
  <si>
    <t>2645790</t>
  </si>
  <si>
    <t>26000321</t>
  </si>
  <si>
    <t>2026-03-06</t>
  </si>
  <si>
    <t>2026-08-24</t>
  </si>
  <si>
    <t>15435</t>
  </si>
  <si>
    <t>7</t>
  </si>
  <si>
    <t>Michelman Int'l - Belgium (Jost)</t>
  </si>
  <si>
    <t>Unassigned</t>
  </si>
  <si>
    <t>3/6/2026 12:00:00 AM</t>
  </si>
  <si>
    <t>8/24/2026 12:00:00 AM</t>
  </si>
  <si>
    <t>2701152</t>
  </si>
  <si>
    <t>26000677</t>
  </si>
  <si>
    <t>2026-08-31</t>
  </si>
  <si>
    <t>33075</t>
  </si>
  <si>
    <t>8/31/2026 12:00:00 AM</t>
  </si>
  <si>
    <t>2708884</t>
  </si>
  <si>
    <t>PO022782- Line 4</t>
  </si>
  <si>
    <t>2026-05-29</t>
  </si>
  <si>
    <t>2026-09-04</t>
  </si>
  <si>
    <t>U204-OP</t>
  </si>
  <si>
    <t>5/29/2026 12:00:00 AM</t>
  </si>
  <si>
    <t>9/4/2026 12:00:00 AM</t>
  </si>
  <si>
    <t>26000286</t>
  </si>
  <si>
    <t>450625356</t>
  </si>
  <si>
    <t>2026-02-11</t>
  </si>
  <si>
    <t>2026-10-09</t>
  </si>
  <si>
    <t>SGL Carbon (X Bsto USD) Ross Shire GB</t>
  </si>
  <si>
    <t>2/11/2026 12:00:00 AM</t>
  </si>
  <si>
    <t>10/9/2026 12:00:00 AM</t>
  </si>
  <si>
    <t>26000981</t>
  </si>
  <si>
    <t>4830107095</t>
  </si>
  <si>
    <t>2026-10-19</t>
  </si>
  <si>
    <t>27600</t>
  </si>
  <si>
    <t>10/19/2026 12:00:00 AM</t>
  </si>
  <si>
    <t>2737269</t>
  </si>
  <si>
    <t>26000870</t>
  </si>
  <si>
    <t>2026-10-05</t>
  </si>
  <si>
    <t>2026-11-09</t>
  </si>
  <si>
    <t>HP1632-OP</t>
  </si>
  <si>
    <t>525</t>
  </si>
  <si>
    <t>1852</t>
  </si>
  <si>
    <t>Michelman Int'l - Belgium SRL</t>
  </si>
  <si>
    <t>10/5/2026 12:00:00 AM</t>
  </si>
  <si>
    <t>11/9/2026 12:00:00 AM</t>
  </si>
  <si>
    <t>26001242</t>
  </si>
  <si>
    <t>628866</t>
  </si>
  <si>
    <t>2026-12-10</t>
  </si>
  <si>
    <t>Sobotram (S) Chalon sur Saone FR</t>
  </si>
  <si>
    <t>12/10/2026 12:00:00 AM</t>
  </si>
  <si>
    <t>2732783</t>
  </si>
  <si>
    <t>0009847</t>
  </si>
  <si>
    <t>2026-06-30</t>
  </si>
  <si>
    <t>2026-07-08</t>
  </si>
  <si>
    <t>2026-12-16</t>
  </si>
  <si>
    <t>800</t>
  </si>
  <si>
    <t>20</t>
  </si>
  <si>
    <t>Xactiv - Fairport, NY</t>
  </si>
  <si>
    <t>6/30/2026 12:00:00 AM</t>
  </si>
  <si>
    <t>7/8/2026 12:00:00 AM</t>
  </si>
  <si>
    <t>12/16/2026 12:00:00 AM</t>
  </si>
  <si>
    <t>2734561</t>
  </si>
  <si>
    <t>PONU043008-1</t>
  </si>
  <si>
    <t>2026-08-07</t>
  </si>
  <si>
    <t>2026-12-18</t>
  </si>
  <si>
    <t>7408</t>
  </si>
  <si>
    <t>16</t>
  </si>
  <si>
    <t>Zoltek - St. Charles, MO</t>
  </si>
  <si>
    <t>8/7/2026 12:00:00 AM</t>
  </si>
  <si>
    <t>12/18/2026 12:00:00 AM</t>
  </si>
  <si>
    <t>26000438</t>
  </si>
  <si>
    <t>450628367 - 0010</t>
  </si>
  <si>
    <t>2026-03-05</t>
  </si>
  <si>
    <t>17640</t>
  </si>
  <si>
    <t>3/5/2026 12:00:00 AM</t>
  </si>
  <si>
    <t>26000439</t>
  </si>
  <si>
    <t>450628367 - 0020</t>
  </si>
  <si>
    <t>2027-02-10</t>
  </si>
  <si>
    <t>2/10/2027 12:00:00 AM</t>
  </si>
  <si>
    <t>26000792</t>
  </si>
  <si>
    <t>450633353 - 0010</t>
  </si>
  <si>
    <t>2026-04-20</t>
  </si>
  <si>
    <t>2027-04-01</t>
  </si>
  <si>
    <t>4/20/2026 12:00:00 AM</t>
  </si>
  <si>
    <t>4/1/2027 12:00:00 AM</t>
  </si>
  <si>
    <t>26000793</t>
  </si>
  <si>
    <t>450633353 - 0020</t>
  </si>
  <si>
    <t>2027-04-28</t>
  </si>
  <si>
    <t>4/28/2027 12:00:00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</si>
</sst>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Tahoma"/>
    </font>
    <font>
      <sz val="10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7E5E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topLeftCell="A12" workbookViewId="0">
      <selection activeCell="A28" sqref="A28:XFD36"/>
    </sheetView>
  </sheetViews>
  <sheetFormatPr defaultRowHeight="15" x14ac:dyDescent="0.25"/>
  <cols>
    <col min="1" max="1" width="46" customWidth="1"/>
    <col min="3" max="4" width="46" customWidth="1"/>
  </cols>
  <sheetData>
    <row r="1" spans="1:3" ht="18" customHeight="1" x14ac:dyDescent="0.25">
      <c r="A1" s="1" t="s">
        <v>11</v>
      </c>
    </row>
    <row r="2" spans="1:3" x14ac:dyDescent="0.25">
      <c r="A2" s="2" t="s">
        <v>12</v>
      </c>
    </row>
    <row r="6" spans="1:3" x14ac:dyDescent="0.25">
      <c r="C6" s="3" t="s">
        <v>13</v>
      </c>
    </row>
    <row r="7" spans="1:3" x14ac:dyDescent="0.25">
      <c r="C7" s="2" t="s">
        <v>14</v>
      </c>
    </row>
    <row r="8" spans="1:3" x14ac:dyDescent="0.25">
      <c r="C8" s="2" t="s">
        <v>15</v>
      </c>
    </row>
    <row r="9" spans="1:3" x14ac:dyDescent="0.25">
      <c r="C9" s="2" t="s">
        <v>16</v>
      </c>
    </row>
    <row r="10" spans="1:3" x14ac:dyDescent="0.25">
      <c r="C10" s="2" t="s">
        <v>17</v>
      </c>
    </row>
    <row r="12" spans="1:3" x14ac:dyDescent="0.25">
      <c r="C12" s="3" t="s">
        <v>18</v>
      </c>
    </row>
    <row r="13" spans="1:3" x14ac:dyDescent="0.25">
      <c r="C13" s="2" t="s">
        <v>19</v>
      </c>
    </row>
    <row r="14" spans="1:3" x14ac:dyDescent="0.25">
      <c r="C14" s="2" t="s">
        <v>20</v>
      </c>
    </row>
    <row r="16" spans="1:3" x14ac:dyDescent="0.25">
      <c r="C16" s="3" t="s">
        <v>21</v>
      </c>
    </row>
    <row r="17" spans="3:4" x14ac:dyDescent="0.25">
      <c r="C17" s="2" t="s">
        <v>22</v>
      </c>
      <c r="D17" s="2" t="s">
        <v>23</v>
      </c>
    </row>
    <row r="18" spans="3:4" x14ac:dyDescent="0.25">
      <c r="C18" s="2" t="s">
        <v>5</v>
      </c>
      <c r="D18" s="2" t="s">
        <v>24</v>
      </c>
    </row>
    <row r="20" spans="3:4" x14ac:dyDescent="0.25">
      <c r="C20" s="3" t="s">
        <v>25</v>
      </c>
    </row>
    <row r="21" spans="3:4" x14ac:dyDescent="0.25">
      <c r="C21" s="2" t="s">
        <v>5</v>
      </c>
      <c r="D21" s="2" t="s">
        <v>24</v>
      </c>
    </row>
    <row r="22" spans="3:4" x14ac:dyDescent="0.25">
      <c r="D22" s="2" t="s">
        <v>26</v>
      </c>
    </row>
    <row r="23" spans="3:4" x14ac:dyDescent="0.25">
      <c r="C23" s="2" t="s">
        <v>27</v>
      </c>
      <c r="D23" s="2" t="s">
        <v>28</v>
      </c>
    </row>
    <row r="25" spans="3:4" x14ac:dyDescent="0.25">
      <c r="C25" s="3" t="s">
        <v>29</v>
      </c>
    </row>
    <row r="26" spans="3:4" x14ac:dyDescent="0.25">
      <c r="C26" s="2" t="s">
        <v>30</v>
      </c>
    </row>
    <row r="28" spans="3:4" x14ac:dyDescent="0.25">
      <c r="C28" s="2"/>
    </row>
    <row r="30" spans="3:4" x14ac:dyDescent="0.25">
      <c r="C30" s="2"/>
    </row>
    <row r="32" spans="3:4" x14ac:dyDescent="0.25">
      <c r="C32" s="2"/>
    </row>
    <row r="34" spans="3:3" x14ac:dyDescent="0.25">
      <c r="C34" s="2"/>
    </row>
    <row r="36" spans="3:3" x14ac:dyDescent="0.25">
      <c r="C3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X47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46" customWidth="1"/>
    <col min="2" max="2" width="9" customWidth="1"/>
    <col min="3" max="3" width="10" customWidth="1"/>
    <col min="4" max="4" width="9" customWidth="1"/>
    <col min="5" max="5" width="18" customWidth="1"/>
    <col min="6" max="7" width="12" customWidth="1"/>
    <col min="8" max="9" width="15" customWidth="1"/>
    <col min="10" max="10" width="13" customWidth="1"/>
    <col min="11" max="11" width="10" customWidth="1"/>
    <col min="12" max="14" width="9" customWidth="1"/>
    <col min="15" max="15" width="41" customWidth="1"/>
    <col min="16" max="16" width="22" customWidth="1"/>
    <col min="18" max="21" width="9" customWidth="1"/>
    <col min="22" max="22" width="13" customWidth="1"/>
    <col min="23" max="23" width="12" customWidth="1"/>
    <col min="24" max="24" width="11" customWidth="1"/>
    <col min="25" max="25" width="15" customWidth="1"/>
    <col min="26" max="26" width="9" customWidth="1"/>
    <col min="27" max="27" width="13" customWidth="1"/>
    <col min="28" max="31" width="9" customWidth="1"/>
    <col min="32" max="32" width="15" customWidth="1"/>
    <col min="33" max="33" width="9" customWidth="1"/>
    <col min="35" max="36" width="9" customWidth="1"/>
    <col min="37" max="37" width="10" customWidth="1"/>
    <col min="38" max="38" width="9" customWidth="1"/>
    <col min="39" max="39" width="18" customWidth="1"/>
    <col min="40" max="40" width="23" customWidth="1"/>
    <col min="41" max="42" width="24" customWidth="1"/>
    <col min="43" max="43" width="15" customWidth="1"/>
    <col min="44" max="44" width="13" customWidth="1"/>
    <col min="45" max="45" width="10" customWidth="1"/>
    <col min="46" max="48" width="9" customWidth="1"/>
    <col min="49" max="49" width="41" customWidth="1"/>
    <col min="50" max="50" width="22" customWidth="1"/>
  </cols>
  <sheetData>
    <row r="1" spans="1:50" x14ac:dyDescent="0.25">
      <c r="A1" s="3" t="s">
        <v>31</v>
      </c>
    </row>
    <row r="2" spans="1:50" x14ac:dyDescent="0.25">
      <c r="A2" s="2" t="s">
        <v>32</v>
      </c>
    </row>
    <row r="4" spans="1:50" x14ac:dyDescent="0.25">
      <c r="A4" s="2" t="s">
        <v>33</v>
      </c>
    </row>
    <row r="7" spans="1:50" x14ac:dyDescent="0.25">
      <c r="A7" s="4" t="s">
        <v>5</v>
      </c>
      <c r="R7" s="4" t="s">
        <v>34</v>
      </c>
      <c r="AI7" s="4" t="s">
        <v>8</v>
      </c>
    </row>
    <row r="9" spans="1:50" x14ac:dyDescent="0.25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40</v>
      </c>
      <c r="G9" s="5" t="s">
        <v>41</v>
      </c>
      <c r="H9" s="5" t="s">
        <v>42</v>
      </c>
      <c r="I9" s="5" t="s">
        <v>43</v>
      </c>
      <c r="J9" s="5" t="s">
        <v>44</v>
      </c>
      <c r="K9" s="5" t="s">
        <v>45</v>
      </c>
      <c r="L9" s="5" t="s">
        <v>46</v>
      </c>
      <c r="M9" s="5" t="s">
        <v>47</v>
      </c>
      <c r="N9" s="5" t="s">
        <v>48</v>
      </c>
      <c r="O9" s="5" t="s">
        <v>49</v>
      </c>
      <c r="P9" s="5" t="s">
        <v>50</v>
      </c>
      <c r="R9" s="5" t="s">
        <v>35</v>
      </c>
      <c r="S9" s="5" t="s">
        <v>36</v>
      </c>
      <c r="T9" s="5" t="s">
        <v>37</v>
      </c>
      <c r="U9" s="5" t="s">
        <v>38</v>
      </c>
      <c r="V9" s="5" t="s">
        <v>39</v>
      </c>
      <c r="W9" s="5" t="s">
        <v>40</v>
      </c>
      <c r="X9" s="5" t="s">
        <v>41</v>
      </c>
      <c r="Y9" s="5" t="s">
        <v>42</v>
      </c>
      <c r="Z9" s="5" t="s">
        <v>43</v>
      </c>
      <c r="AA9" s="5" t="s">
        <v>44</v>
      </c>
      <c r="AB9" s="5" t="s">
        <v>45</v>
      </c>
      <c r="AC9" s="5" t="s">
        <v>46</v>
      </c>
      <c r="AD9" s="5" t="s">
        <v>47</v>
      </c>
      <c r="AE9" s="5" t="s">
        <v>48</v>
      </c>
      <c r="AF9" s="5" t="s">
        <v>49</v>
      </c>
      <c r="AG9" s="5" t="s">
        <v>50</v>
      </c>
      <c r="AI9" s="5" t="s">
        <v>35</v>
      </c>
      <c r="AJ9" s="5" t="s">
        <v>36</v>
      </c>
      <c r="AK9" s="5" t="s">
        <v>37</v>
      </c>
      <c r="AL9" s="5" t="s">
        <v>38</v>
      </c>
      <c r="AM9" s="5" t="s">
        <v>39</v>
      </c>
      <c r="AN9" s="5" t="s">
        <v>40</v>
      </c>
      <c r="AO9" s="5" t="s">
        <v>41</v>
      </c>
      <c r="AP9" s="5" t="s">
        <v>42</v>
      </c>
      <c r="AQ9" s="5" t="s">
        <v>43</v>
      </c>
      <c r="AR9" s="5" t="s">
        <v>44</v>
      </c>
      <c r="AS9" s="5" t="s">
        <v>45</v>
      </c>
      <c r="AT9" s="5" t="s">
        <v>46</v>
      </c>
      <c r="AU9" s="5" t="s">
        <v>47</v>
      </c>
      <c r="AV9" s="5" t="s">
        <v>48</v>
      </c>
      <c r="AW9" s="5" t="s">
        <v>49</v>
      </c>
      <c r="AX9" s="5" t="s">
        <v>50</v>
      </c>
    </row>
    <row r="10" spans="1:50" x14ac:dyDescent="0.2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  <c r="J10" s="2" t="s">
        <v>60</v>
      </c>
      <c r="K10" s="2" t="s">
        <v>61</v>
      </c>
      <c r="L10" s="2" t="s">
        <v>62</v>
      </c>
      <c r="M10" s="2" t="s">
        <v>54</v>
      </c>
      <c r="N10" s="2" t="s">
        <v>63</v>
      </c>
      <c r="O10" s="2" t="s">
        <v>64</v>
      </c>
      <c r="P10" s="2" t="s">
        <v>65</v>
      </c>
      <c r="R10" s="2" t="b">
        <f t="shared" ref="R10:R47" si="0">A10=AI10</f>
        <v>1</v>
      </c>
      <c r="S10" s="2" t="b">
        <f t="shared" ref="S10:S47" si="1">B10=AJ10</f>
        <v>1</v>
      </c>
      <c r="T10" s="2" t="b">
        <f t="shared" ref="T10:T47" si="2">C10=AK10</f>
        <v>1</v>
      </c>
      <c r="U10" s="2" t="b">
        <f t="shared" ref="U10:U47" si="3">D10=AL10</f>
        <v>1</v>
      </c>
      <c r="V10" s="2" t="b">
        <f t="shared" ref="V10:V47" si="4">E10=AM10</f>
        <v>1</v>
      </c>
      <c r="W10" s="2" t="b">
        <f t="shared" ref="W10:W47" si="5">IFERROR(INT(VALUE(F10))=INT(VALUE(AN10)),F10=AN10)</f>
        <v>1</v>
      </c>
      <c r="X10" s="2" t="b">
        <f t="shared" ref="X10:X47" si="6">IFERROR(INT(VALUE(G10))=INT(VALUE(AO10)),G10=AO10)</f>
        <v>1</v>
      </c>
      <c r="Y10" s="2" t="b">
        <f t="shared" ref="Y10:Y47" si="7">IFERROR(INT(VALUE(H10))=INT(VALUE(AP10)),H10=AP10)</f>
        <v>1</v>
      </c>
      <c r="Z10" s="2" t="b">
        <f t="shared" ref="Z10:Z47" si="8">I10=AQ10</f>
        <v>1</v>
      </c>
      <c r="AA10" s="2" t="b">
        <f t="shared" ref="AA10:AA47" si="9">J10=AR10</f>
        <v>1</v>
      </c>
      <c r="AB10" s="2" t="b">
        <f t="shared" ref="AB10:AB47" si="10">K10=AS10</f>
        <v>1</v>
      </c>
      <c r="AC10" s="2" t="b">
        <f t="shared" ref="AC10:AC47" si="11">L10=AT10</f>
        <v>1</v>
      </c>
      <c r="AD10" s="2" t="b">
        <f t="shared" ref="AD10:AD47" si="12">M10=AU10</f>
        <v>1</v>
      </c>
      <c r="AE10" s="2" t="b">
        <f t="shared" ref="AE10:AE47" si="13">N10=AV10</f>
        <v>1</v>
      </c>
      <c r="AF10" s="2" t="b">
        <f t="shared" ref="AF10:AF47" si="14">O10=AW10</f>
        <v>1</v>
      </c>
      <c r="AG10" s="2" t="b">
        <f t="shared" ref="AG10:AG47" si="15">P10=AX10</f>
        <v>1</v>
      </c>
      <c r="AI10" s="2" t="s">
        <v>51</v>
      </c>
      <c r="AJ10" s="2" t="s">
        <v>52</v>
      </c>
      <c r="AK10" s="2" t="s">
        <v>53</v>
      </c>
      <c r="AL10" s="2" t="s">
        <v>54</v>
      </c>
      <c r="AM10" s="2" t="s">
        <v>55</v>
      </c>
      <c r="AN10" s="2" t="s">
        <v>66</v>
      </c>
      <c r="AO10" s="2" t="s">
        <v>67</v>
      </c>
      <c r="AP10" s="2" t="s">
        <v>68</v>
      </c>
      <c r="AQ10" s="2" t="s">
        <v>59</v>
      </c>
      <c r="AR10" s="2" t="s">
        <v>60</v>
      </c>
      <c r="AS10" s="2" t="s">
        <v>61</v>
      </c>
      <c r="AT10" s="2" t="s">
        <v>62</v>
      </c>
      <c r="AU10" s="2" t="s">
        <v>54</v>
      </c>
      <c r="AV10" s="2" t="s">
        <v>63</v>
      </c>
      <c r="AW10" s="2" t="s">
        <v>64</v>
      </c>
      <c r="AX10" s="2" t="s">
        <v>65</v>
      </c>
    </row>
    <row r="11" spans="1:50" x14ac:dyDescent="0.25">
      <c r="A11" s="2" t="s">
        <v>51</v>
      </c>
      <c r="B11" s="2" t="s">
        <v>52</v>
      </c>
      <c r="C11" s="2" t="s">
        <v>69</v>
      </c>
      <c r="D11" s="2" t="s">
        <v>54</v>
      </c>
      <c r="E11" s="2" t="s">
        <v>70</v>
      </c>
      <c r="F11" s="2" t="s">
        <v>71</v>
      </c>
      <c r="G11" s="2" t="s">
        <v>72</v>
      </c>
      <c r="H11" s="2" t="s">
        <v>58</v>
      </c>
      <c r="I11" s="2" t="s">
        <v>73</v>
      </c>
      <c r="J11" s="2" t="s">
        <v>74</v>
      </c>
      <c r="K11" s="2" t="s">
        <v>75</v>
      </c>
      <c r="L11" s="2" t="s">
        <v>76</v>
      </c>
      <c r="M11" s="2" t="s">
        <v>77</v>
      </c>
      <c r="N11" s="2" t="s">
        <v>78</v>
      </c>
      <c r="O11" s="2" t="s">
        <v>79</v>
      </c>
      <c r="P11" s="2" t="s">
        <v>80</v>
      </c>
      <c r="R11" s="2" t="b">
        <f t="shared" si="0"/>
        <v>1</v>
      </c>
      <c r="S11" s="2" t="b">
        <f t="shared" si="1"/>
        <v>1</v>
      </c>
      <c r="T11" s="2" t="b">
        <f t="shared" si="2"/>
        <v>1</v>
      </c>
      <c r="U11" s="2" t="b">
        <f t="shared" si="3"/>
        <v>1</v>
      </c>
      <c r="V11" s="2" t="b">
        <f t="shared" si="4"/>
        <v>1</v>
      </c>
      <c r="W11" s="2" t="b">
        <f t="shared" si="5"/>
        <v>1</v>
      </c>
      <c r="X11" s="2" t="b">
        <f t="shared" si="6"/>
        <v>1</v>
      </c>
      <c r="Y11" s="2" t="b">
        <f t="shared" si="7"/>
        <v>1</v>
      </c>
      <c r="Z11" s="2" t="b">
        <f t="shared" si="8"/>
        <v>1</v>
      </c>
      <c r="AA11" s="2" t="b">
        <f t="shared" si="9"/>
        <v>1</v>
      </c>
      <c r="AB11" s="2" t="b">
        <f t="shared" si="10"/>
        <v>1</v>
      </c>
      <c r="AC11" s="2" t="b">
        <f t="shared" si="11"/>
        <v>1</v>
      </c>
      <c r="AD11" s="2" t="b">
        <f t="shared" si="12"/>
        <v>1</v>
      </c>
      <c r="AE11" s="2" t="b">
        <f t="shared" si="13"/>
        <v>1</v>
      </c>
      <c r="AF11" s="2" t="b">
        <f t="shared" si="14"/>
        <v>1</v>
      </c>
      <c r="AG11" s="2" t="b">
        <f t="shared" si="15"/>
        <v>1</v>
      </c>
      <c r="AI11" s="2" t="s">
        <v>51</v>
      </c>
      <c r="AJ11" s="2" t="s">
        <v>52</v>
      </c>
      <c r="AK11" s="2" t="s">
        <v>69</v>
      </c>
      <c r="AL11" s="2" t="s">
        <v>54</v>
      </c>
      <c r="AM11" s="2" t="s">
        <v>70</v>
      </c>
      <c r="AN11" s="2" t="s">
        <v>81</v>
      </c>
      <c r="AO11" s="2" t="s">
        <v>82</v>
      </c>
      <c r="AP11" s="2" t="s">
        <v>68</v>
      </c>
      <c r="AQ11" s="2" t="s">
        <v>73</v>
      </c>
      <c r="AR11" s="2" t="s">
        <v>74</v>
      </c>
      <c r="AS11" s="2" t="s">
        <v>75</v>
      </c>
      <c r="AT11" s="2" t="s">
        <v>76</v>
      </c>
      <c r="AU11" s="2" t="s">
        <v>77</v>
      </c>
      <c r="AV11" s="2" t="s">
        <v>78</v>
      </c>
      <c r="AW11" s="2" t="s">
        <v>79</v>
      </c>
      <c r="AX11" s="2" t="s">
        <v>80</v>
      </c>
    </row>
    <row r="12" spans="1:50" x14ac:dyDescent="0.25">
      <c r="A12" s="2" t="s">
        <v>83</v>
      </c>
      <c r="B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76</v>
      </c>
      <c r="M12" s="2" t="s">
        <v>54</v>
      </c>
      <c r="N12" s="2" t="s">
        <v>94</v>
      </c>
      <c r="O12" s="2" t="s">
        <v>95</v>
      </c>
      <c r="P12" s="2" t="s">
        <v>96</v>
      </c>
      <c r="R12" s="2" t="b">
        <f t="shared" si="0"/>
        <v>1</v>
      </c>
      <c r="S12" s="2" t="b">
        <f t="shared" si="1"/>
        <v>1</v>
      </c>
      <c r="T12" s="2" t="b">
        <f t="shared" si="2"/>
        <v>1</v>
      </c>
      <c r="U12" s="2" t="b">
        <f t="shared" si="3"/>
        <v>1</v>
      </c>
      <c r="V12" s="2" t="b">
        <f t="shared" si="4"/>
        <v>1</v>
      </c>
      <c r="W12" s="2" t="b">
        <f t="shared" si="5"/>
        <v>1</v>
      </c>
      <c r="X12" s="2" t="b">
        <f t="shared" si="6"/>
        <v>1</v>
      </c>
      <c r="Y12" s="2" t="b">
        <f t="shared" si="7"/>
        <v>1</v>
      </c>
      <c r="Z12" s="2" t="b">
        <f t="shared" si="8"/>
        <v>1</v>
      </c>
      <c r="AA12" s="2" t="b">
        <f t="shared" si="9"/>
        <v>1</v>
      </c>
      <c r="AB12" s="2" t="b">
        <f t="shared" si="10"/>
        <v>1</v>
      </c>
      <c r="AC12" s="2" t="b">
        <f t="shared" si="11"/>
        <v>1</v>
      </c>
      <c r="AD12" s="2" t="b">
        <f t="shared" si="12"/>
        <v>1</v>
      </c>
      <c r="AE12" s="2" t="b">
        <f t="shared" si="13"/>
        <v>1</v>
      </c>
      <c r="AF12" s="2" t="b">
        <f t="shared" si="14"/>
        <v>1</v>
      </c>
      <c r="AG12" s="2" t="b">
        <f t="shared" si="15"/>
        <v>1</v>
      </c>
      <c r="AI12" s="2" t="s">
        <v>83</v>
      </c>
      <c r="AJ12" s="2" t="s">
        <v>84</v>
      </c>
      <c r="AK12" s="2" t="s">
        <v>85</v>
      </c>
      <c r="AL12" s="2" t="s">
        <v>86</v>
      </c>
      <c r="AM12" s="2" t="s">
        <v>87</v>
      </c>
      <c r="AN12" s="2" t="s">
        <v>97</v>
      </c>
      <c r="AO12" s="2" t="s">
        <v>98</v>
      </c>
      <c r="AP12" s="2" t="s">
        <v>99</v>
      </c>
      <c r="AQ12" s="2" t="s">
        <v>91</v>
      </c>
      <c r="AR12" s="2" t="s">
        <v>92</v>
      </c>
      <c r="AS12" s="2" t="s">
        <v>93</v>
      </c>
      <c r="AT12" s="2" t="s">
        <v>76</v>
      </c>
      <c r="AU12" s="2" t="s">
        <v>54</v>
      </c>
      <c r="AV12" s="2" t="s">
        <v>94</v>
      </c>
      <c r="AW12" s="2" t="s">
        <v>95</v>
      </c>
      <c r="AX12" s="2" t="s">
        <v>96</v>
      </c>
    </row>
    <row r="13" spans="1:50" x14ac:dyDescent="0.25">
      <c r="A13" s="2" t="s">
        <v>83</v>
      </c>
      <c r="B13" s="2" t="s">
        <v>84</v>
      </c>
      <c r="C13" s="2" t="s">
        <v>100</v>
      </c>
      <c r="D13" s="2" t="s">
        <v>86</v>
      </c>
      <c r="E13" s="2" t="s">
        <v>101</v>
      </c>
      <c r="F13" s="2" t="s">
        <v>102</v>
      </c>
      <c r="G13" s="2" t="s">
        <v>58</v>
      </c>
      <c r="H13" s="2" t="s">
        <v>90</v>
      </c>
      <c r="I13" s="2" t="s">
        <v>91</v>
      </c>
      <c r="J13" s="2" t="s">
        <v>92</v>
      </c>
      <c r="K13" s="2" t="s">
        <v>103</v>
      </c>
      <c r="L13" s="2" t="s">
        <v>76</v>
      </c>
      <c r="M13" s="2" t="s">
        <v>104</v>
      </c>
      <c r="N13" s="2" t="s">
        <v>94</v>
      </c>
      <c r="O13" s="2" t="s">
        <v>95</v>
      </c>
      <c r="P13" s="2" t="s">
        <v>96</v>
      </c>
      <c r="R13" s="2" t="b">
        <f t="shared" si="0"/>
        <v>1</v>
      </c>
      <c r="S13" s="2" t="b">
        <f t="shared" si="1"/>
        <v>1</v>
      </c>
      <c r="T13" s="2" t="b">
        <f t="shared" si="2"/>
        <v>1</v>
      </c>
      <c r="U13" s="2" t="b">
        <f t="shared" si="3"/>
        <v>1</v>
      </c>
      <c r="V13" s="2" t="b">
        <f t="shared" si="4"/>
        <v>1</v>
      </c>
      <c r="W13" s="2" t="b">
        <f t="shared" si="5"/>
        <v>1</v>
      </c>
      <c r="X13" s="2" t="b">
        <f t="shared" si="6"/>
        <v>1</v>
      </c>
      <c r="Y13" s="2" t="b">
        <f t="shared" si="7"/>
        <v>1</v>
      </c>
      <c r="Z13" s="2" t="b">
        <f t="shared" si="8"/>
        <v>1</v>
      </c>
      <c r="AA13" s="2" t="b">
        <f t="shared" si="9"/>
        <v>1</v>
      </c>
      <c r="AB13" s="2" t="b">
        <f t="shared" si="10"/>
        <v>1</v>
      </c>
      <c r="AC13" s="2" t="b">
        <f t="shared" si="11"/>
        <v>1</v>
      </c>
      <c r="AD13" s="2" t="b">
        <f t="shared" si="12"/>
        <v>1</v>
      </c>
      <c r="AE13" s="2" t="b">
        <f t="shared" si="13"/>
        <v>1</v>
      </c>
      <c r="AF13" s="2" t="b">
        <f t="shared" si="14"/>
        <v>1</v>
      </c>
      <c r="AG13" s="2" t="b">
        <f t="shared" si="15"/>
        <v>1</v>
      </c>
      <c r="AI13" s="2" t="s">
        <v>83</v>
      </c>
      <c r="AJ13" s="2" t="s">
        <v>84</v>
      </c>
      <c r="AK13" s="2" t="s">
        <v>100</v>
      </c>
      <c r="AL13" s="2" t="s">
        <v>86</v>
      </c>
      <c r="AM13" s="2" t="s">
        <v>101</v>
      </c>
      <c r="AN13" s="2" t="s">
        <v>105</v>
      </c>
      <c r="AO13" s="2" t="s">
        <v>68</v>
      </c>
      <c r="AP13" s="2" t="s">
        <v>99</v>
      </c>
      <c r="AQ13" s="2" t="s">
        <v>91</v>
      </c>
      <c r="AR13" s="2" t="s">
        <v>92</v>
      </c>
      <c r="AS13" s="2" t="s">
        <v>103</v>
      </c>
      <c r="AT13" s="2" t="s">
        <v>76</v>
      </c>
      <c r="AU13" s="2" t="s">
        <v>104</v>
      </c>
      <c r="AV13" s="2" t="s">
        <v>94</v>
      </c>
      <c r="AW13" s="2" t="s">
        <v>95</v>
      </c>
      <c r="AX13" s="2" t="s">
        <v>96</v>
      </c>
    </row>
    <row r="14" spans="1:50" x14ac:dyDescent="0.25">
      <c r="A14" s="2" t="s">
        <v>83</v>
      </c>
      <c r="B14" s="2" t="s">
        <v>84</v>
      </c>
      <c r="C14" s="2" t="s">
        <v>106</v>
      </c>
      <c r="D14" s="2" t="s">
        <v>54</v>
      </c>
      <c r="E14" s="2" t="s">
        <v>107</v>
      </c>
      <c r="F14" s="2" t="s">
        <v>108</v>
      </c>
      <c r="G14" s="2" t="s">
        <v>108</v>
      </c>
      <c r="H14" s="2" t="s">
        <v>90</v>
      </c>
      <c r="I14" s="2" t="s">
        <v>91</v>
      </c>
      <c r="J14" s="2" t="s">
        <v>109</v>
      </c>
      <c r="K14" s="2" t="s">
        <v>110</v>
      </c>
      <c r="L14" s="2" t="s">
        <v>76</v>
      </c>
      <c r="M14" s="2" t="s">
        <v>111</v>
      </c>
      <c r="N14" s="2" t="s">
        <v>94</v>
      </c>
      <c r="O14" s="2" t="s">
        <v>112</v>
      </c>
      <c r="P14" s="2" t="s">
        <v>96</v>
      </c>
      <c r="R14" s="2" t="b">
        <f t="shared" si="0"/>
        <v>1</v>
      </c>
      <c r="S14" s="2" t="b">
        <f t="shared" si="1"/>
        <v>1</v>
      </c>
      <c r="T14" s="2" t="b">
        <f t="shared" si="2"/>
        <v>1</v>
      </c>
      <c r="U14" s="2" t="b">
        <f t="shared" si="3"/>
        <v>1</v>
      </c>
      <c r="V14" s="2" t="b">
        <f t="shared" si="4"/>
        <v>1</v>
      </c>
      <c r="W14" s="2" t="b">
        <f t="shared" si="5"/>
        <v>1</v>
      </c>
      <c r="X14" s="2" t="b">
        <f t="shared" si="6"/>
        <v>1</v>
      </c>
      <c r="Y14" s="2" t="b">
        <f t="shared" si="7"/>
        <v>1</v>
      </c>
      <c r="Z14" s="2" t="b">
        <f t="shared" si="8"/>
        <v>1</v>
      </c>
      <c r="AA14" s="2" t="b">
        <f t="shared" si="9"/>
        <v>1</v>
      </c>
      <c r="AB14" s="2" t="b">
        <f t="shared" si="10"/>
        <v>1</v>
      </c>
      <c r="AC14" s="2" t="b">
        <f t="shared" si="11"/>
        <v>1</v>
      </c>
      <c r="AD14" s="2" t="b">
        <f t="shared" si="12"/>
        <v>1</v>
      </c>
      <c r="AE14" s="2" t="b">
        <f t="shared" si="13"/>
        <v>1</v>
      </c>
      <c r="AF14" s="2" t="b">
        <f t="shared" si="14"/>
        <v>1</v>
      </c>
      <c r="AG14" s="2" t="b">
        <f t="shared" si="15"/>
        <v>1</v>
      </c>
      <c r="AI14" s="2" t="s">
        <v>83</v>
      </c>
      <c r="AJ14" s="2" t="s">
        <v>84</v>
      </c>
      <c r="AK14" s="2" t="s">
        <v>106</v>
      </c>
      <c r="AL14" s="2" t="s">
        <v>54</v>
      </c>
      <c r="AM14" s="2" t="s">
        <v>107</v>
      </c>
      <c r="AN14" s="2" t="s">
        <v>113</v>
      </c>
      <c r="AO14" s="2" t="s">
        <v>113</v>
      </c>
      <c r="AP14" s="2" t="s">
        <v>99</v>
      </c>
      <c r="AQ14" s="2" t="s">
        <v>91</v>
      </c>
      <c r="AR14" s="2" t="s">
        <v>109</v>
      </c>
      <c r="AS14" s="2" t="s">
        <v>110</v>
      </c>
      <c r="AT14" s="2" t="s">
        <v>76</v>
      </c>
      <c r="AU14" s="2" t="s">
        <v>111</v>
      </c>
      <c r="AV14" s="2" t="s">
        <v>94</v>
      </c>
      <c r="AW14" s="2" t="s">
        <v>112</v>
      </c>
      <c r="AX14" s="2" t="s">
        <v>96</v>
      </c>
    </row>
    <row r="15" spans="1:50" x14ac:dyDescent="0.25">
      <c r="A15" s="2" t="s">
        <v>51</v>
      </c>
      <c r="B15" s="2" t="s">
        <v>52</v>
      </c>
      <c r="C15" s="2" t="s">
        <v>114</v>
      </c>
      <c r="D15" s="2" t="s">
        <v>54</v>
      </c>
      <c r="E15" s="2" t="s">
        <v>115</v>
      </c>
      <c r="F15" s="2" t="s">
        <v>116</v>
      </c>
      <c r="G15" s="2" t="s">
        <v>117</v>
      </c>
      <c r="H15" s="2" t="s">
        <v>90</v>
      </c>
      <c r="I15" s="2" t="s">
        <v>59</v>
      </c>
      <c r="J15" s="2" t="s">
        <v>109</v>
      </c>
      <c r="K15" s="2" t="s">
        <v>118</v>
      </c>
      <c r="L15" s="2" t="s">
        <v>62</v>
      </c>
      <c r="M15" s="2" t="s">
        <v>119</v>
      </c>
      <c r="N15" s="2" t="s">
        <v>63</v>
      </c>
      <c r="O15" s="2" t="s">
        <v>120</v>
      </c>
      <c r="P15" s="2" t="s">
        <v>65</v>
      </c>
      <c r="R15" s="2" t="b">
        <f t="shared" si="0"/>
        <v>1</v>
      </c>
      <c r="S15" s="2" t="b">
        <f t="shared" si="1"/>
        <v>1</v>
      </c>
      <c r="T15" s="2" t="b">
        <f t="shared" si="2"/>
        <v>1</v>
      </c>
      <c r="U15" s="2" t="b">
        <f t="shared" si="3"/>
        <v>1</v>
      </c>
      <c r="V15" s="2" t="b">
        <f t="shared" si="4"/>
        <v>1</v>
      </c>
      <c r="W15" s="2" t="b">
        <f t="shared" si="5"/>
        <v>1</v>
      </c>
      <c r="X15" s="2" t="b">
        <f t="shared" si="6"/>
        <v>1</v>
      </c>
      <c r="Y15" s="2" t="b">
        <f t="shared" si="7"/>
        <v>1</v>
      </c>
      <c r="Z15" s="2" t="b">
        <f t="shared" si="8"/>
        <v>1</v>
      </c>
      <c r="AA15" s="2" t="b">
        <f t="shared" si="9"/>
        <v>1</v>
      </c>
      <c r="AB15" s="2" t="b">
        <f t="shared" si="10"/>
        <v>1</v>
      </c>
      <c r="AC15" s="2" t="b">
        <f t="shared" si="11"/>
        <v>1</v>
      </c>
      <c r="AD15" s="2" t="b">
        <f t="shared" si="12"/>
        <v>1</v>
      </c>
      <c r="AE15" s="2" t="b">
        <f t="shared" si="13"/>
        <v>1</v>
      </c>
      <c r="AF15" s="2" t="b">
        <f t="shared" si="14"/>
        <v>1</v>
      </c>
      <c r="AG15" s="2" t="b">
        <f t="shared" si="15"/>
        <v>1</v>
      </c>
      <c r="AI15" s="2" t="s">
        <v>51</v>
      </c>
      <c r="AJ15" s="2" t="s">
        <v>52</v>
      </c>
      <c r="AK15" s="2" t="s">
        <v>114</v>
      </c>
      <c r="AL15" s="2" t="s">
        <v>54</v>
      </c>
      <c r="AM15" s="2" t="s">
        <v>115</v>
      </c>
      <c r="AN15" s="2" t="s">
        <v>121</v>
      </c>
      <c r="AO15" s="2" t="s">
        <v>122</v>
      </c>
      <c r="AP15" s="2" t="s">
        <v>99</v>
      </c>
      <c r="AQ15" s="2" t="s">
        <v>59</v>
      </c>
      <c r="AR15" s="2" t="s">
        <v>109</v>
      </c>
      <c r="AS15" s="2" t="s">
        <v>118</v>
      </c>
      <c r="AT15" s="2" t="s">
        <v>62</v>
      </c>
      <c r="AU15" s="2" t="s">
        <v>119</v>
      </c>
      <c r="AV15" s="2" t="s">
        <v>63</v>
      </c>
      <c r="AW15" s="2" t="s">
        <v>120</v>
      </c>
      <c r="AX15" s="2" t="s">
        <v>65</v>
      </c>
    </row>
    <row r="16" spans="1:50" x14ac:dyDescent="0.25">
      <c r="A16" s="2" t="s">
        <v>51</v>
      </c>
      <c r="B16" s="2" t="s">
        <v>52</v>
      </c>
      <c r="C16" s="2" t="s">
        <v>123</v>
      </c>
      <c r="D16" s="2" t="s">
        <v>54</v>
      </c>
      <c r="E16" s="2" t="s">
        <v>124</v>
      </c>
      <c r="F16" s="2" t="s">
        <v>125</v>
      </c>
      <c r="G16" s="2" t="s">
        <v>126</v>
      </c>
      <c r="H16" s="2" t="s">
        <v>90</v>
      </c>
      <c r="I16" s="2" t="s">
        <v>127</v>
      </c>
      <c r="J16" s="2" t="s">
        <v>109</v>
      </c>
      <c r="K16" s="2" t="s">
        <v>128</v>
      </c>
      <c r="L16" s="2" t="s">
        <v>62</v>
      </c>
      <c r="M16" s="2" t="s">
        <v>86</v>
      </c>
      <c r="N16" s="2" t="s">
        <v>63</v>
      </c>
      <c r="O16" s="2" t="s">
        <v>129</v>
      </c>
      <c r="P16" s="2" t="s">
        <v>130</v>
      </c>
      <c r="R16" s="2" t="b">
        <f t="shared" si="0"/>
        <v>1</v>
      </c>
      <c r="S16" s="2" t="b">
        <f t="shared" si="1"/>
        <v>1</v>
      </c>
      <c r="T16" s="2" t="b">
        <f t="shared" si="2"/>
        <v>1</v>
      </c>
      <c r="U16" s="2" t="b">
        <f t="shared" si="3"/>
        <v>1</v>
      </c>
      <c r="V16" s="2" t="b">
        <f t="shared" si="4"/>
        <v>1</v>
      </c>
      <c r="W16" s="2" t="b">
        <f t="shared" si="5"/>
        <v>1</v>
      </c>
      <c r="X16" s="2" t="b">
        <f t="shared" si="6"/>
        <v>1</v>
      </c>
      <c r="Y16" s="2" t="b">
        <f t="shared" si="7"/>
        <v>1</v>
      </c>
      <c r="Z16" s="2" t="b">
        <f t="shared" si="8"/>
        <v>1</v>
      </c>
      <c r="AA16" s="2" t="b">
        <f t="shared" si="9"/>
        <v>1</v>
      </c>
      <c r="AB16" s="2" t="b">
        <f t="shared" si="10"/>
        <v>1</v>
      </c>
      <c r="AC16" s="2" t="b">
        <f t="shared" si="11"/>
        <v>1</v>
      </c>
      <c r="AD16" s="2" t="b">
        <f t="shared" si="12"/>
        <v>1</v>
      </c>
      <c r="AE16" s="2" t="b">
        <f t="shared" si="13"/>
        <v>1</v>
      </c>
      <c r="AF16" s="2" t="b">
        <f t="shared" si="14"/>
        <v>1</v>
      </c>
      <c r="AG16" s="2" t="b">
        <f t="shared" si="15"/>
        <v>1</v>
      </c>
      <c r="AI16" s="2" t="s">
        <v>51</v>
      </c>
      <c r="AJ16" s="2" t="s">
        <v>52</v>
      </c>
      <c r="AK16" s="2" t="s">
        <v>123</v>
      </c>
      <c r="AL16" s="2" t="s">
        <v>54</v>
      </c>
      <c r="AM16" s="2" t="s">
        <v>124</v>
      </c>
      <c r="AN16" s="2" t="s">
        <v>131</v>
      </c>
      <c r="AO16" s="2" t="s">
        <v>132</v>
      </c>
      <c r="AP16" s="2" t="s">
        <v>99</v>
      </c>
      <c r="AQ16" s="2" t="s">
        <v>127</v>
      </c>
      <c r="AR16" s="2" t="s">
        <v>109</v>
      </c>
      <c r="AS16" s="2" t="s">
        <v>128</v>
      </c>
      <c r="AT16" s="2" t="s">
        <v>62</v>
      </c>
      <c r="AU16" s="2" t="s">
        <v>86</v>
      </c>
      <c r="AV16" s="2" t="s">
        <v>63</v>
      </c>
      <c r="AW16" s="2" t="s">
        <v>129</v>
      </c>
      <c r="AX16" s="2" t="s">
        <v>130</v>
      </c>
    </row>
    <row r="17" spans="1:50" x14ac:dyDescent="0.25">
      <c r="A17" s="2" t="s">
        <v>51</v>
      </c>
      <c r="B17" s="2" t="s">
        <v>52</v>
      </c>
      <c r="C17" s="2" t="s">
        <v>133</v>
      </c>
      <c r="D17" s="2" t="s">
        <v>54</v>
      </c>
      <c r="E17" s="2" t="s">
        <v>134</v>
      </c>
      <c r="F17" s="2" t="s">
        <v>135</v>
      </c>
      <c r="G17" s="2" t="s">
        <v>90</v>
      </c>
      <c r="H17" s="2" t="s">
        <v>90</v>
      </c>
      <c r="I17" s="2" t="s">
        <v>136</v>
      </c>
      <c r="J17" s="2" t="s">
        <v>109</v>
      </c>
      <c r="K17" s="2" t="s">
        <v>118</v>
      </c>
      <c r="L17" s="2" t="s">
        <v>62</v>
      </c>
      <c r="M17" s="2" t="s">
        <v>119</v>
      </c>
      <c r="N17" s="2" t="s">
        <v>63</v>
      </c>
      <c r="O17" s="2" t="s">
        <v>129</v>
      </c>
      <c r="P17" s="2" t="s">
        <v>130</v>
      </c>
      <c r="R17" s="2" t="b">
        <f t="shared" si="0"/>
        <v>1</v>
      </c>
      <c r="S17" s="2" t="b">
        <f t="shared" si="1"/>
        <v>1</v>
      </c>
      <c r="T17" s="2" t="b">
        <f t="shared" si="2"/>
        <v>1</v>
      </c>
      <c r="U17" s="2" t="b">
        <f t="shared" si="3"/>
        <v>1</v>
      </c>
      <c r="V17" s="2" t="b">
        <f t="shared" si="4"/>
        <v>1</v>
      </c>
      <c r="W17" s="2" t="b">
        <f t="shared" si="5"/>
        <v>1</v>
      </c>
      <c r="X17" s="2" t="b">
        <f t="shared" si="6"/>
        <v>1</v>
      </c>
      <c r="Y17" s="2" t="b">
        <f t="shared" si="7"/>
        <v>1</v>
      </c>
      <c r="Z17" s="2" t="b">
        <f t="shared" si="8"/>
        <v>1</v>
      </c>
      <c r="AA17" s="2" t="b">
        <f t="shared" si="9"/>
        <v>1</v>
      </c>
      <c r="AB17" s="2" t="b">
        <f t="shared" si="10"/>
        <v>1</v>
      </c>
      <c r="AC17" s="2" t="b">
        <f t="shared" si="11"/>
        <v>1</v>
      </c>
      <c r="AD17" s="2" t="b">
        <f t="shared" si="12"/>
        <v>1</v>
      </c>
      <c r="AE17" s="2" t="b">
        <f t="shared" si="13"/>
        <v>1</v>
      </c>
      <c r="AF17" s="2" t="b">
        <f t="shared" si="14"/>
        <v>1</v>
      </c>
      <c r="AG17" s="2" t="b">
        <f t="shared" si="15"/>
        <v>1</v>
      </c>
      <c r="AI17" s="2" t="s">
        <v>51</v>
      </c>
      <c r="AJ17" s="2" t="s">
        <v>52</v>
      </c>
      <c r="AK17" s="2" t="s">
        <v>133</v>
      </c>
      <c r="AL17" s="2" t="s">
        <v>54</v>
      </c>
      <c r="AM17" s="2" t="s">
        <v>134</v>
      </c>
      <c r="AN17" s="2" t="s">
        <v>137</v>
      </c>
      <c r="AO17" s="2" t="s">
        <v>99</v>
      </c>
      <c r="AP17" s="2" t="s">
        <v>99</v>
      </c>
      <c r="AQ17" s="2" t="s">
        <v>136</v>
      </c>
      <c r="AR17" s="2" t="s">
        <v>109</v>
      </c>
      <c r="AS17" s="2" t="s">
        <v>118</v>
      </c>
      <c r="AT17" s="2" t="s">
        <v>62</v>
      </c>
      <c r="AU17" s="2" t="s">
        <v>119</v>
      </c>
      <c r="AV17" s="2" t="s">
        <v>63</v>
      </c>
      <c r="AW17" s="2" t="s">
        <v>129</v>
      </c>
      <c r="AX17" s="2" t="s">
        <v>130</v>
      </c>
    </row>
    <row r="18" spans="1:50" x14ac:dyDescent="0.25">
      <c r="A18" s="2" t="s">
        <v>51</v>
      </c>
      <c r="B18" s="2" t="s">
        <v>52</v>
      </c>
      <c r="C18" s="2" t="s">
        <v>133</v>
      </c>
      <c r="D18" s="2" t="s">
        <v>138</v>
      </c>
      <c r="E18" s="2" t="s">
        <v>134</v>
      </c>
      <c r="F18" s="2" t="s">
        <v>135</v>
      </c>
      <c r="G18" s="2" t="s">
        <v>90</v>
      </c>
      <c r="H18" s="2" t="s">
        <v>90</v>
      </c>
      <c r="I18" s="2" t="s">
        <v>136</v>
      </c>
      <c r="J18" s="2" t="s">
        <v>109</v>
      </c>
      <c r="K18" s="2" t="s">
        <v>118</v>
      </c>
      <c r="L18" s="2" t="s">
        <v>62</v>
      </c>
      <c r="M18" s="2" t="s">
        <v>119</v>
      </c>
      <c r="N18" s="2" t="s">
        <v>63</v>
      </c>
      <c r="O18" s="2" t="s">
        <v>129</v>
      </c>
      <c r="P18" s="2" t="s">
        <v>130</v>
      </c>
      <c r="R18" s="2" t="b">
        <f t="shared" si="0"/>
        <v>1</v>
      </c>
      <c r="S18" s="2" t="b">
        <f t="shared" si="1"/>
        <v>1</v>
      </c>
      <c r="T18" s="2" t="b">
        <f t="shared" si="2"/>
        <v>1</v>
      </c>
      <c r="U18" s="2" t="b">
        <f t="shared" si="3"/>
        <v>1</v>
      </c>
      <c r="V18" s="2" t="b">
        <f t="shared" si="4"/>
        <v>1</v>
      </c>
      <c r="W18" s="2" t="b">
        <f t="shared" si="5"/>
        <v>1</v>
      </c>
      <c r="X18" s="2" t="b">
        <f t="shared" si="6"/>
        <v>1</v>
      </c>
      <c r="Y18" s="2" t="b">
        <f t="shared" si="7"/>
        <v>1</v>
      </c>
      <c r="Z18" s="2" t="b">
        <f t="shared" si="8"/>
        <v>1</v>
      </c>
      <c r="AA18" s="2" t="b">
        <f t="shared" si="9"/>
        <v>1</v>
      </c>
      <c r="AB18" s="2" t="b">
        <f t="shared" si="10"/>
        <v>1</v>
      </c>
      <c r="AC18" s="2" t="b">
        <f t="shared" si="11"/>
        <v>1</v>
      </c>
      <c r="AD18" s="2" t="b">
        <f t="shared" si="12"/>
        <v>1</v>
      </c>
      <c r="AE18" s="2" t="b">
        <f t="shared" si="13"/>
        <v>1</v>
      </c>
      <c r="AF18" s="2" t="b">
        <f t="shared" si="14"/>
        <v>1</v>
      </c>
      <c r="AG18" s="2" t="b">
        <f t="shared" si="15"/>
        <v>1</v>
      </c>
      <c r="AI18" s="2" t="s">
        <v>51</v>
      </c>
      <c r="AJ18" s="2" t="s">
        <v>52</v>
      </c>
      <c r="AK18" s="2" t="s">
        <v>133</v>
      </c>
      <c r="AL18" s="2" t="s">
        <v>138</v>
      </c>
      <c r="AM18" s="2" t="s">
        <v>134</v>
      </c>
      <c r="AN18" s="2" t="s">
        <v>137</v>
      </c>
      <c r="AO18" s="2" t="s">
        <v>99</v>
      </c>
      <c r="AP18" s="2" t="s">
        <v>99</v>
      </c>
      <c r="AQ18" s="2" t="s">
        <v>136</v>
      </c>
      <c r="AR18" s="2" t="s">
        <v>109</v>
      </c>
      <c r="AS18" s="2" t="s">
        <v>118</v>
      </c>
      <c r="AT18" s="2" t="s">
        <v>62</v>
      </c>
      <c r="AU18" s="2" t="s">
        <v>119</v>
      </c>
      <c r="AV18" s="2" t="s">
        <v>63</v>
      </c>
      <c r="AW18" s="2" t="s">
        <v>129</v>
      </c>
      <c r="AX18" s="2" t="s">
        <v>130</v>
      </c>
    </row>
    <row r="19" spans="1:50" x14ac:dyDescent="0.25">
      <c r="A19" s="2" t="s">
        <v>51</v>
      </c>
      <c r="B19" s="2" t="s">
        <v>52</v>
      </c>
      <c r="C19" s="2" t="s">
        <v>139</v>
      </c>
      <c r="D19" s="2" t="s">
        <v>54</v>
      </c>
      <c r="E19" s="2" t="s">
        <v>140</v>
      </c>
      <c r="F19" s="2" t="s">
        <v>141</v>
      </c>
      <c r="G19" s="2" t="s">
        <v>58</v>
      </c>
      <c r="H19" s="2" t="s">
        <v>90</v>
      </c>
      <c r="I19" s="2" t="s">
        <v>59</v>
      </c>
      <c r="J19" s="2" t="s">
        <v>109</v>
      </c>
      <c r="K19" s="2" t="s">
        <v>142</v>
      </c>
      <c r="L19" s="2" t="s">
        <v>62</v>
      </c>
      <c r="M19" s="2" t="s">
        <v>104</v>
      </c>
      <c r="N19" s="2" t="s">
        <v>63</v>
      </c>
      <c r="O19" s="2" t="s">
        <v>143</v>
      </c>
      <c r="P19" s="2" t="s">
        <v>65</v>
      </c>
      <c r="R19" s="2" t="b">
        <f t="shared" si="0"/>
        <v>1</v>
      </c>
      <c r="S19" s="2" t="b">
        <f t="shared" si="1"/>
        <v>1</v>
      </c>
      <c r="T19" s="2" t="b">
        <f t="shared" si="2"/>
        <v>1</v>
      </c>
      <c r="U19" s="2" t="b">
        <f t="shared" si="3"/>
        <v>1</v>
      </c>
      <c r="V19" s="2" t="b">
        <f t="shared" si="4"/>
        <v>1</v>
      </c>
      <c r="W19" s="2" t="b">
        <f t="shared" si="5"/>
        <v>1</v>
      </c>
      <c r="X19" s="2" t="b">
        <f t="shared" si="6"/>
        <v>1</v>
      </c>
      <c r="Y19" s="2" t="b">
        <f t="shared" si="7"/>
        <v>1</v>
      </c>
      <c r="Z19" s="2" t="b">
        <f t="shared" si="8"/>
        <v>1</v>
      </c>
      <c r="AA19" s="2" t="b">
        <f t="shared" si="9"/>
        <v>1</v>
      </c>
      <c r="AB19" s="2" t="b">
        <f t="shared" si="10"/>
        <v>1</v>
      </c>
      <c r="AC19" s="2" t="b">
        <f t="shared" si="11"/>
        <v>1</v>
      </c>
      <c r="AD19" s="2" t="b">
        <f t="shared" si="12"/>
        <v>1</v>
      </c>
      <c r="AE19" s="2" t="b">
        <f t="shared" si="13"/>
        <v>1</v>
      </c>
      <c r="AF19" s="2" t="b">
        <f t="shared" si="14"/>
        <v>1</v>
      </c>
      <c r="AG19" s="2" t="b">
        <f t="shared" si="15"/>
        <v>1</v>
      </c>
      <c r="AI19" s="2" t="s">
        <v>51</v>
      </c>
      <c r="AJ19" s="2" t="s">
        <v>52</v>
      </c>
      <c r="AK19" s="2" t="s">
        <v>139</v>
      </c>
      <c r="AL19" s="2" t="s">
        <v>54</v>
      </c>
      <c r="AM19" s="2" t="s">
        <v>140</v>
      </c>
      <c r="AN19" s="2" t="s">
        <v>144</v>
      </c>
      <c r="AO19" s="2" t="s">
        <v>68</v>
      </c>
      <c r="AP19" s="2" t="s">
        <v>99</v>
      </c>
      <c r="AQ19" s="2" t="s">
        <v>59</v>
      </c>
      <c r="AR19" s="2" t="s">
        <v>109</v>
      </c>
      <c r="AS19" s="2" t="s">
        <v>142</v>
      </c>
      <c r="AT19" s="2" t="s">
        <v>62</v>
      </c>
      <c r="AU19" s="2" t="s">
        <v>104</v>
      </c>
      <c r="AV19" s="2" t="s">
        <v>63</v>
      </c>
      <c r="AW19" s="2" t="s">
        <v>143</v>
      </c>
      <c r="AX19" s="2" t="s">
        <v>65</v>
      </c>
    </row>
    <row r="20" spans="1:50" x14ac:dyDescent="0.25">
      <c r="A20" s="2" t="s">
        <v>83</v>
      </c>
      <c r="B20" s="2" t="s">
        <v>84</v>
      </c>
      <c r="C20" s="2" t="s">
        <v>145</v>
      </c>
      <c r="D20" s="2" t="s">
        <v>86</v>
      </c>
      <c r="E20" s="2" t="s">
        <v>146</v>
      </c>
      <c r="F20" s="2" t="s">
        <v>147</v>
      </c>
      <c r="G20" s="2" t="s">
        <v>148</v>
      </c>
      <c r="H20" s="2" t="s">
        <v>149</v>
      </c>
      <c r="I20" s="2" t="s">
        <v>150</v>
      </c>
      <c r="J20" s="2" t="s">
        <v>92</v>
      </c>
      <c r="K20" s="2" t="s">
        <v>151</v>
      </c>
      <c r="L20" s="2" t="s">
        <v>76</v>
      </c>
      <c r="M20" s="2" t="s">
        <v>152</v>
      </c>
      <c r="N20" s="2" t="s">
        <v>78</v>
      </c>
      <c r="O20" s="2" t="s">
        <v>153</v>
      </c>
      <c r="P20" s="2" t="s">
        <v>154</v>
      </c>
      <c r="R20" s="2" t="b">
        <f t="shared" si="0"/>
        <v>1</v>
      </c>
      <c r="S20" s="2" t="b">
        <f t="shared" si="1"/>
        <v>1</v>
      </c>
      <c r="T20" s="2" t="b">
        <f t="shared" si="2"/>
        <v>1</v>
      </c>
      <c r="U20" s="2" t="b">
        <f t="shared" si="3"/>
        <v>1</v>
      </c>
      <c r="V20" s="2" t="b">
        <f t="shared" si="4"/>
        <v>1</v>
      </c>
      <c r="W20" s="2" t="b">
        <f t="shared" si="5"/>
        <v>1</v>
      </c>
      <c r="X20" s="2" t="b">
        <f t="shared" si="6"/>
        <v>1</v>
      </c>
      <c r="Y20" s="2" t="b">
        <f t="shared" si="7"/>
        <v>1</v>
      </c>
      <c r="Z20" s="2" t="b">
        <f t="shared" si="8"/>
        <v>1</v>
      </c>
      <c r="AA20" s="2" t="b">
        <f t="shared" si="9"/>
        <v>1</v>
      </c>
      <c r="AB20" s="2" t="b">
        <f t="shared" si="10"/>
        <v>1</v>
      </c>
      <c r="AC20" s="2" t="b">
        <f t="shared" si="11"/>
        <v>1</v>
      </c>
      <c r="AD20" s="2" t="b">
        <f t="shared" si="12"/>
        <v>1</v>
      </c>
      <c r="AE20" s="2" t="b">
        <f t="shared" si="13"/>
        <v>1</v>
      </c>
      <c r="AF20" s="2" t="b">
        <f t="shared" si="14"/>
        <v>1</v>
      </c>
      <c r="AG20" s="2" t="b">
        <f t="shared" si="15"/>
        <v>1</v>
      </c>
      <c r="AI20" s="2" t="s">
        <v>83</v>
      </c>
      <c r="AJ20" s="2" t="s">
        <v>84</v>
      </c>
      <c r="AK20" s="2" t="s">
        <v>145</v>
      </c>
      <c r="AL20" s="2" t="s">
        <v>86</v>
      </c>
      <c r="AM20" s="2" t="s">
        <v>146</v>
      </c>
      <c r="AN20" s="2" t="s">
        <v>155</v>
      </c>
      <c r="AO20" s="2" t="s">
        <v>156</v>
      </c>
      <c r="AP20" s="2" t="s">
        <v>157</v>
      </c>
      <c r="AQ20" s="2" t="s">
        <v>150</v>
      </c>
      <c r="AR20" s="2" t="s">
        <v>92</v>
      </c>
      <c r="AS20" s="2" t="s">
        <v>151</v>
      </c>
      <c r="AT20" s="2" t="s">
        <v>76</v>
      </c>
      <c r="AU20" s="2" t="s">
        <v>152</v>
      </c>
      <c r="AV20" s="2" t="s">
        <v>78</v>
      </c>
      <c r="AW20" s="2" t="s">
        <v>153</v>
      </c>
      <c r="AX20" s="2" t="s">
        <v>154</v>
      </c>
    </row>
    <row r="21" spans="1:50" x14ac:dyDescent="0.25">
      <c r="A21" s="2" t="s">
        <v>51</v>
      </c>
      <c r="B21" s="2" t="s">
        <v>52</v>
      </c>
      <c r="C21" s="2" t="s">
        <v>158</v>
      </c>
      <c r="D21" s="2" t="s">
        <v>54</v>
      </c>
      <c r="E21" s="2" t="s">
        <v>159</v>
      </c>
      <c r="F21" s="2" t="s">
        <v>160</v>
      </c>
      <c r="G21" s="2" t="s">
        <v>149</v>
      </c>
      <c r="H21" s="2" t="s">
        <v>149</v>
      </c>
      <c r="I21" s="2" t="s">
        <v>161</v>
      </c>
      <c r="J21" s="2" t="s">
        <v>92</v>
      </c>
      <c r="K21" s="2" t="s">
        <v>162</v>
      </c>
      <c r="L21" s="2" t="s">
        <v>76</v>
      </c>
      <c r="M21" s="2" t="s">
        <v>104</v>
      </c>
      <c r="N21" s="2" t="s">
        <v>63</v>
      </c>
      <c r="O21" s="2" t="s">
        <v>163</v>
      </c>
      <c r="P21" s="2" t="s">
        <v>164</v>
      </c>
      <c r="R21" s="2" t="b">
        <f t="shared" si="0"/>
        <v>1</v>
      </c>
      <c r="S21" s="2" t="b">
        <f t="shared" si="1"/>
        <v>1</v>
      </c>
      <c r="T21" s="2" t="b">
        <f t="shared" si="2"/>
        <v>1</v>
      </c>
      <c r="U21" s="2" t="b">
        <f t="shared" si="3"/>
        <v>1</v>
      </c>
      <c r="V21" s="2" t="b">
        <f t="shared" si="4"/>
        <v>1</v>
      </c>
      <c r="W21" s="2" t="b">
        <f t="shared" si="5"/>
        <v>1</v>
      </c>
      <c r="X21" s="2" t="b">
        <f t="shared" si="6"/>
        <v>1</v>
      </c>
      <c r="Y21" s="2" t="b">
        <f t="shared" si="7"/>
        <v>1</v>
      </c>
      <c r="Z21" s="2" t="b">
        <f t="shared" si="8"/>
        <v>1</v>
      </c>
      <c r="AA21" s="2" t="b">
        <f t="shared" si="9"/>
        <v>1</v>
      </c>
      <c r="AB21" s="2" t="b">
        <f t="shared" si="10"/>
        <v>1</v>
      </c>
      <c r="AC21" s="2" t="b">
        <f t="shared" si="11"/>
        <v>1</v>
      </c>
      <c r="AD21" s="2" t="b">
        <f t="shared" si="12"/>
        <v>1</v>
      </c>
      <c r="AE21" s="2" t="b">
        <f t="shared" si="13"/>
        <v>1</v>
      </c>
      <c r="AF21" s="2" t="b">
        <f t="shared" si="14"/>
        <v>1</v>
      </c>
      <c r="AG21" s="2" t="b">
        <f t="shared" si="15"/>
        <v>1</v>
      </c>
      <c r="AI21" s="2" t="s">
        <v>51</v>
      </c>
      <c r="AJ21" s="2" t="s">
        <v>52</v>
      </c>
      <c r="AK21" s="2" t="s">
        <v>158</v>
      </c>
      <c r="AL21" s="2" t="s">
        <v>54</v>
      </c>
      <c r="AM21" s="2" t="s">
        <v>159</v>
      </c>
      <c r="AN21" s="2" t="s">
        <v>165</v>
      </c>
      <c r="AO21" s="2" t="s">
        <v>157</v>
      </c>
      <c r="AP21" s="2" t="s">
        <v>157</v>
      </c>
      <c r="AQ21" s="2" t="s">
        <v>161</v>
      </c>
      <c r="AR21" s="2" t="s">
        <v>92</v>
      </c>
      <c r="AS21" s="2" t="s">
        <v>162</v>
      </c>
      <c r="AT21" s="2" t="s">
        <v>76</v>
      </c>
      <c r="AU21" s="2" t="s">
        <v>104</v>
      </c>
      <c r="AV21" s="2" t="s">
        <v>63</v>
      </c>
      <c r="AW21" s="2" t="s">
        <v>163</v>
      </c>
      <c r="AX21" s="2" t="s">
        <v>164</v>
      </c>
    </row>
    <row r="22" spans="1:50" x14ac:dyDescent="0.25">
      <c r="A22" s="2" t="s">
        <v>51</v>
      </c>
      <c r="B22" s="2" t="s">
        <v>52</v>
      </c>
      <c r="C22" s="2" t="s">
        <v>166</v>
      </c>
      <c r="D22" s="2" t="s">
        <v>54</v>
      </c>
      <c r="E22" s="2" t="s">
        <v>167</v>
      </c>
      <c r="F22" s="2" t="s">
        <v>168</v>
      </c>
      <c r="G22" s="2" t="s">
        <v>58</v>
      </c>
      <c r="H22" s="2" t="s">
        <v>169</v>
      </c>
      <c r="I22" s="2" t="s">
        <v>170</v>
      </c>
      <c r="J22" s="2" t="s">
        <v>92</v>
      </c>
      <c r="K22" s="2" t="s">
        <v>171</v>
      </c>
      <c r="L22" s="2" t="s">
        <v>62</v>
      </c>
      <c r="M22" s="2" t="s">
        <v>172</v>
      </c>
      <c r="N22" s="2" t="s">
        <v>94</v>
      </c>
      <c r="O22" s="2" t="s">
        <v>173</v>
      </c>
      <c r="P22" s="2" t="s">
        <v>65</v>
      </c>
      <c r="R22" s="2" t="b">
        <f t="shared" si="0"/>
        <v>1</v>
      </c>
      <c r="S22" s="2" t="b">
        <f t="shared" si="1"/>
        <v>1</v>
      </c>
      <c r="T22" s="2" t="b">
        <f t="shared" si="2"/>
        <v>1</v>
      </c>
      <c r="U22" s="2" t="b">
        <f t="shared" si="3"/>
        <v>1</v>
      </c>
      <c r="V22" s="2" t="b">
        <f t="shared" si="4"/>
        <v>1</v>
      </c>
      <c r="W22" s="2" t="b">
        <f t="shared" si="5"/>
        <v>1</v>
      </c>
      <c r="X22" s="2" t="b">
        <f t="shared" si="6"/>
        <v>1</v>
      </c>
      <c r="Y22" s="2" t="b">
        <f t="shared" si="7"/>
        <v>1</v>
      </c>
      <c r="Z22" s="2" t="b">
        <f t="shared" si="8"/>
        <v>1</v>
      </c>
      <c r="AA22" s="2" t="b">
        <f t="shared" si="9"/>
        <v>1</v>
      </c>
      <c r="AB22" s="2" t="b">
        <f t="shared" si="10"/>
        <v>1</v>
      </c>
      <c r="AC22" s="2" t="b">
        <f t="shared" si="11"/>
        <v>1</v>
      </c>
      <c r="AD22" s="2" t="b">
        <f t="shared" si="12"/>
        <v>1</v>
      </c>
      <c r="AE22" s="2" t="b">
        <f t="shared" si="13"/>
        <v>1</v>
      </c>
      <c r="AF22" s="2" t="b">
        <f t="shared" si="14"/>
        <v>1</v>
      </c>
      <c r="AG22" s="2" t="b">
        <f t="shared" si="15"/>
        <v>1</v>
      </c>
      <c r="AI22" s="2" t="s">
        <v>51</v>
      </c>
      <c r="AJ22" s="2" t="s">
        <v>52</v>
      </c>
      <c r="AK22" s="2" t="s">
        <v>166</v>
      </c>
      <c r="AL22" s="2" t="s">
        <v>54</v>
      </c>
      <c r="AM22" s="2" t="s">
        <v>167</v>
      </c>
      <c r="AN22" s="2" t="s">
        <v>174</v>
      </c>
      <c r="AO22" s="2" t="s">
        <v>68</v>
      </c>
      <c r="AP22" s="2" t="s">
        <v>175</v>
      </c>
      <c r="AQ22" s="2" t="s">
        <v>170</v>
      </c>
      <c r="AR22" s="2" t="s">
        <v>92</v>
      </c>
      <c r="AS22" s="2" t="s">
        <v>171</v>
      </c>
      <c r="AT22" s="2" t="s">
        <v>62</v>
      </c>
      <c r="AU22" s="2" t="s">
        <v>172</v>
      </c>
      <c r="AV22" s="2" t="s">
        <v>94</v>
      </c>
      <c r="AW22" s="2" t="s">
        <v>173</v>
      </c>
      <c r="AX22" s="2" t="s">
        <v>65</v>
      </c>
    </row>
    <row r="23" spans="1:50" x14ac:dyDescent="0.25">
      <c r="A23" s="2" t="s">
        <v>83</v>
      </c>
      <c r="B23" s="2" t="s">
        <v>84</v>
      </c>
      <c r="C23" s="2" t="s">
        <v>176</v>
      </c>
      <c r="D23" s="2" t="s">
        <v>54</v>
      </c>
      <c r="E23" s="2" t="s">
        <v>177</v>
      </c>
      <c r="F23" s="2" t="s">
        <v>72</v>
      </c>
      <c r="G23" s="2" t="s">
        <v>178</v>
      </c>
      <c r="H23" s="2" t="s">
        <v>178</v>
      </c>
      <c r="I23" s="2" t="s">
        <v>91</v>
      </c>
      <c r="J23" s="2" t="s">
        <v>92</v>
      </c>
      <c r="K23" s="2" t="s">
        <v>179</v>
      </c>
      <c r="L23" s="2" t="s">
        <v>76</v>
      </c>
      <c r="M23" s="2" t="s">
        <v>172</v>
      </c>
      <c r="N23" s="2" t="s">
        <v>94</v>
      </c>
      <c r="O23" s="2" t="s">
        <v>180</v>
      </c>
      <c r="P23" s="2" t="s">
        <v>181</v>
      </c>
      <c r="R23" s="2" t="b">
        <f t="shared" si="0"/>
        <v>1</v>
      </c>
      <c r="S23" s="2" t="b">
        <f t="shared" si="1"/>
        <v>1</v>
      </c>
      <c r="T23" s="2" t="b">
        <f t="shared" si="2"/>
        <v>1</v>
      </c>
      <c r="U23" s="2" t="b">
        <f t="shared" si="3"/>
        <v>1</v>
      </c>
      <c r="V23" s="2" t="b">
        <f t="shared" si="4"/>
        <v>1</v>
      </c>
      <c r="W23" s="2" t="b">
        <f t="shared" si="5"/>
        <v>1</v>
      </c>
      <c r="X23" s="2" t="b">
        <f t="shared" si="6"/>
        <v>1</v>
      </c>
      <c r="Y23" s="2" t="b">
        <f t="shared" si="7"/>
        <v>1</v>
      </c>
      <c r="Z23" s="2" t="b">
        <f t="shared" si="8"/>
        <v>1</v>
      </c>
      <c r="AA23" s="2" t="b">
        <f t="shared" si="9"/>
        <v>1</v>
      </c>
      <c r="AB23" s="2" t="b">
        <f t="shared" si="10"/>
        <v>1</v>
      </c>
      <c r="AC23" s="2" t="b">
        <f t="shared" si="11"/>
        <v>1</v>
      </c>
      <c r="AD23" s="2" t="b">
        <f t="shared" si="12"/>
        <v>1</v>
      </c>
      <c r="AE23" s="2" t="b">
        <f t="shared" si="13"/>
        <v>1</v>
      </c>
      <c r="AF23" s="2" t="b">
        <f t="shared" si="14"/>
        <v>1</v>
      </c>
      <c r="AG23" s="2" t="b">
        <f t="shared" si="15"/>
        <v>1</v>
      </c>
      <c r="AI23" s="2" t="s">
        <v>83</v>
      </c>
      <c r="AJ23" s="2" t="s">
        <v>84</v>
      </c>
      <c r="AK23" s="2" t="s">
        <v>176</v>
      </c>
      <c r="AL23" s="2" t="s">
        <v>54</v>
      </c>
      <c r="AM23" s="2" t="s">
        <v>177</v>
      </c>
      <c r="AN23" s="2" t="s">
        <v>82</v>
      </c>
      <c r="AO23" s="2" t="s">
        <v>182</v>
      </c>
      <c r="AP23" s="2" t="s">
        <v>182</v>
      </c>
      <c r="AQ23" s="2" t="s">
        <v>91</v>
      </c>
      <c r="AR23" s="2" t="s">
        <v>92</v>
      </c>
      <c r="AS23" s="2" t="s">
        <v>179</v>
      </c>
      <c r="AT23" s="2" t="s">
        <v>76</v>
      </c>
      <c r="AU23" s="2" t="s">
        <v>172</v>
      </c>
      <c r="AV23" s="2" t="s">
        <v>94</v>
      </c>
      <c r="AW23" s="2" t="s">
        <v>180</v>
      </c>
      <c r="AX23" s="2" t="s">
        <v>181</v>
      </c>
    </row>
    <row r="24" spans="1:50" x14ac:dyDescent="0.25">
      <c r="A24" s="2" t="s">
        <v>83</v>
      </c>
      <c r="B24" s="2" t="s">
        <v>84</v>
      </c>
      <c r="C24" s="2" t="s">
        <v>183</v>
      </c>
      <c r="D24" s="2" t="s">
        <v>54</v>
      </c>
      <c r="E24" s="2" t="s">
        <v>184</v>
      </c>
      <c r="F24" s="2" t="s">
        <v>117</v>
      </c>
      <c r="G24" s="2" t="s">
        <v>148</v>
      </c>
      <c r="H24" s="2" t="s">
        <v>185</v>
      </c>
      <c r="I24" s="2" t="s">
        <v>186</v>
      </c>
      <c r="J24" s="2" t="s">
        <v>92</v>
      </c>
      <c r="K24" s="2" t="s">
        <v>187</v>
      </c>
      <c r="L24" s="2" t="s">
        <v>76</v>
      </c>
      <c r="M24" s="2" t="s">
        <v>188</v>
      </c>
      <c r="N24" s="2" t="s">
        <v>94</v>
      </c>
      <c r="O24" s="2" t="s">
        <v>189</v>
      </c>
      <c r="P24" s="2" t="s">
        <v>96</v>
      </c>
      <c r="R24" s="2" t="b">
        <f t="shared" si="0"/>
        <v>1</v>
      </c>
      <c r="S24" s="2" t="b">
        <f t="shared" si="1"/>
        <v>1</v>
      </c>
      <c r="T24" s="2" t="b">
        <f t="shared" si="2"/>
        <v>1</v>
      </c>
      <c r="U24" s="2" t="b">
        <f t="shared" si="3"/>
        <v>1</v>
      </c>
      <c r="V24" s="2" t="b">
        <f t="shared" si="4"/>
        <v>1</v>
      </c>
      <c r="W24" s="2" t="b">
        <f t="shared" si="5"/>
        <v>1</v>
      </c>
      <c r="X24" s="2" t="b">
        <f t="shared" si="6"/>
        <v>1</v>
      </c>
      <c r="Y24" s="2" t="b">
        <f t="shared" si="7"/>
        <v>1</v>
      </c>
      <c r="Z24" s="2" t="b">
        <f t="shared" si="8"/>
        <v>1</v>
      </c>
      <c r="AA24" s="2" t="b">
        <f t="shared" si="9"/>
        <v>1</v>
      </c>
      <c r="AB24" s="2" t="b">
        <f t="shared" si="10"/>
        <v>1</v>
      </c>
      <c r="AC24" s="2" t="b">
        <f t="shared" si="11"/>
        <v>1</v>
      </c>
      <c r="AD24" s="2" t="b">
        <f t="shared" si="12"/>
        <v>1</v>
      </c>
      <c r="AE24" s="2" t="b">
        <f t="shared" si="13"/>
        <v>1</v>
      </c>
      <c r="AF24" s="2" t="b">
        <f t="shared" si="14"/>
        <v>1</v>
      </c>
      <c r="AG24" s="2" t="b">
        <f t="shared" si="15"/>
        <v>1</v>
      </c>
      <c r="AI24" s="2" t="s">
        <v>83</v>
      </c>
      <c r="AJ24" s="2" t="s">
        <v>84</v>
      </c>
      <c r="AK24" s="2" t="s">
        <v>183</v>
      </c>
      <c r="AL24" s="2" t="s">
        <v>54</v>
      </c>
      <c r="AM24" s="2" t="s">
        <v>184</v>
      </c>
      <c r="AN24" s="2" t="s">
        <v>122</v>
      </c>
      <c r="AO24" s="2" t="s">
        <v>156</v>
      </c>
      <c r="AP24" s="2" t="s">
        <v>190</v>
      </c>
      <c r="AQ24" s="2" t="s">
        <v>186</v>
      </c>
      <c r="AR24" s="2" t="s">
        <v>92</v>
      </c>
      <c r="AS24" s="2" t="s">
        <v>187</v>
      </c>
      <c r="AT24" s="2" t="s">
        <v>76</v>
      </c>
      <c r="AU24" s="2" t="s">
        <v>188</v>
      </c>
      <c r="AV24" s="2" t="s">
        <v>94</v>
      </c>
      <c r="AW24" s="2" t="s">
        <v>189</v>
      </c>
      <c r="AX24" s="2" t="s">
        <v>96</v>
      </c>
    </row>
    <row r="25" spans="1:50" x14ac:dyDescent="0.25">
      <c r="A25" s="2" t="s">
        <v>83</v>
      </c>
      <c r="B25" s="2" t="s">
        <v>84</v>
      </c>
      <c r="C25" s="2" t="s">
        <v>191</v>
      </c>
      <c r="D25" s="2" t="s">
        <v>54</v>
      </c>
      <c r="E25" s="2" t="s">
        <v>192</v>
      </c>
      <c r="F25" s="2" t="s">
        <v>193</v>
      </c>
      <c r="G25" s="2" t="s">
        <v>194</v>
      </c>
      <c r="H25" s="2" t="s">
        <v>185</v>
      </c>
      <c r="I25" s="2" t="s">
        <v>195</v>
      </c>
      <c r="J25" s="2" t="s">
        <v>92</v>
      </c>
      <c r="K25" s="2" t="s">
        <v>196</v>
      </c>
      <c r="L25" s="2" t="s">
        <v>76</v>
      </c>
      <c r="M25" s="2" t="s">
        <v>197</v>
      </c>
      <c r="N25" s="2" t="s">
        <v>94</v>
      </c>
      <c r="O25" s="2" t="s">
        <v>198</v>
      </c>
      <c r="P25" s="2" t="s">
        <v>96</v>
      </c>
      <c r="R25" s="2" t="b">
        <f t="shared" si="0"/>
        <v>1</v>
      </c>
      <c r="S25" s="2" t="b">
        <f t="shared" si="1"/>
        <v>1</v>
      </c>
      <c r="T25" s="2" t="b">
        <f t="shared" si="2"/>
        <v>1</v>
      </c>
      <c r="U25" s="2" t="b">
        <f t="shared" si="3"/>
        <v>1</v>
      </c>
      <c r="V25" s="2" t="b">
        <f t="shared" si="4"/>
        <v>1</v>
      </c>
      <c r="W25" s="2" t="b">
        <f t="shared" si="5"/>
        <v>1</v>
      </c>
      <c r="X25" s="2" t="b">
        <f t="shared" si="6"/>
        <v>1</v>
      </c>
      <c r="Y25" s="2" t="b">
        <f t="shared" si="7"/>
        <v>1</v>
      </c>
      <c r="Z25" s="2" t="b">
        <f t="shared" si="8"/>
        <v>1</v>
      </c>
      <c r="AA25" s="2" t="b">
        <f t="shared" si="9"/>
        <v>1</v>
      </c>
      <c r="AB25" s="2" t="b">
        <f t="shared" si="10"/>
        <v>1</v>
      </c>
      <c r="AC25" s="2" t="b">
        <f t="shared" si="11"/>
        <v>1</v>
      </c>
      <c r="AD25" s="2" t="b">
        <f t="shared" si="12"/>
        <v>1</v>
      </c>
      <c r="AE25" s="2" t="b">
        <f t="shared" si="13"/>
        <v>1</v>
      </c>
      <c r="AF25" s="2" t="b">
        <f t="shared" si="14"/>
        <v>1</v>
      </c>
      <c r="AG25" s="2" t="b">
        <f t="shared" si="15"/>
        <v>1</v>
      </c>
      <c r="AI25" s="2" t="s">
        <v>83</v>
      </c>
      <c r="AJ25" s="2" t="s">
        <v>84</v>
      </c>
      <c r="AK25" s="2" t="s">
        <v>191</v>
      </c>
      <c r="AL25" s="2" t="s">
        <v>54</v>
      </c>
      <c r="AM25" s="2" t="s">
        <v>192</v>
      </c>
      <c r="AN25" s="2" t="s">
        <v>199</v>
      </c>
      <c r="AO25" s="2" t="s">
        <v>200</v>
      </c>
      <c r="AP25" s="2" t="s">
        <v>190</v>
      </c>
      <c r="AQ25" s="2" t="s">
        <v>195</v>
      </c>
      <c r="AR25" s="2" t="s">
        <v>92</v>
      </c>
      <c r="AS25" s="2" t="s">
        <v>196</v>
      </c>
      <c r="AT25" s="2" t="s">
        <v>76</v>
      </c>
      <c r="AU25" s="2" t="s">
        <v>197</v>
      </c>
      <c r="AV25" s="2" t="s">
        <v>94</v>
      </c>
      <c r="AW25" s="2" t="s">
        <v>198</v>
      </c>
      <c r="AX25" s="2" t="s">
        <v>96</v>
      </c>
    </row>
    <row r="26" spans="1:50" x14ac:dyDescent="0.25">
      <c r="A26" s="2" t="s">
        <v>51</v>
      </c>
      <c r="B26" s="2" t="s">
        <v>52</v>
      </c>
      <c r="C26" s="2" t="s">
        <v>201</v>
      </c>
      <c r="D26" s="2" t="s">
        <v>54</v>
      </c>
      <c r="E26" s="2" t="s">
        <v>202</v>
      </c>
      <c r="F26" s="2" t="s">
        <v>58</v>
      </c>
      <c r="G26" s="2" t="s">
        <v>203</v>
      </c>
      <c r="H26" s="2" t="s">
        <v>203</v>
      </c>
      <c r="I26" s="2" t="s">
        <v>204</v>
      </c>
      <c r="J26" s="2" t="s">
        <v>74</v>
      </c>
      <c r="K26" s="2" t="s">
        <v>179</v>
      </c>
      <c r="L26" s="2" t="s">
        <v>62</v>
      </c>
      <c r="M26" s="2" t="s">
        <v>205</v>
      </c>
      <c r="N26" s="2" t="s">
        <v>94</v>
      </c>
      <c r="O26" s="2" t="s">
        <v>143</v>
      </c>
      <c r="P26" s="2" t="s">
        <v>65</v>
      </c>
      <c r="R26" s="2" t="b">
        <f t="shared" si="0"/>
        <v>1</v>
      </c>
      <c r="S26" s="2" t="b">
        <f t="shared" si="1"/>
        <v>1</v>
      </c>
      <c r="T26" s="2" t="b">
        <f t="shared" si="2"/>
        <v>1</v>
      </c>
      <c r="U26" s="2" t="b">
        <f t="shared" si="3"/>
        <v>1</v>
      </c>
      <c r="V26" s="2" t="b">
        <f t="shared" si="4"/>
        <v>1</v>
      </c>
      <c r="W26" s="2" t="b">
        <f t="shared" si="5"/>
        <v>1</v>
      </c>
      <c r="X26" s="2" t="b">
        <f t="shared" si="6"/>
        <v>1</v>
      </c>
      <c r="Y26" s="2" t="b">
        <f t="shared" si="7"/>
        <v>1</v>
      </c>
      <c r="Z26" s="2" t="b">
        <f t="shared" si="8"/>
        <v>1</v>
      </c>
      <c r="AA26" s="2" t="b">
        <f t="shared" si="9"/>
        <v>1</v>
      </c>
      <c r="AB26" s="2" t="b">
        <f t="shared" si="10"/>
        <v>1</v>
      </c>
      <c r="AC26" s="2" t="b">
        <f t="shared" si="11"/>
        <v>1</v>
      </c>
      <c r="AD26" s="2" t="b">
        <f t="shared" si="12"/>
        <v>1</v>
      </c>
      <c r="AE26" s="2" t="b">
        <f t="shared" si="13"/>
        <v>1</v>
      </c>
      <c r="AF26" s="2" t="b">
        <f t="shared" si="14"/>
        <v>1</v>
      </c>
      <c r="AG26" s="2" t="b">
        <f t="shared" si="15"/>
        <v>1</v>
      </c>
      <c r="AI26" s="2" t="s">
        <v>51</v>
      </c>
      <c r="AJ26" s="2" t="s">
        <v>52</v>
      </c>
      <c r="AK26" s="2" t="s">
        <v>201</v>
      </c>
      <c r="AL26" s="2" t="s">
        <v>54</v>
      </c>
      <c r="AM26" s="2" t="s">
        <v>202</v>
      </c>
      <c r="AN26" s="2" t="s">
        <v>68</v>
      </c>
      <c r="AO26" s="2" t="s">
        <v>206</v>
      </c>
      <c r="AP26" s="2" t="s">
        <v>206</v>
      </c>
      <c r="AQ26" s="2" t="s">
        <v>204</v>
      </c>
      <c r="AR26" s="2" t="s">
        <v>74</v>
      </c>
      <c r="AS26" s="2" t="s">
        <v>179</v>
      </c>
      <c r="AT26" s="2" t="s">
        <v>62</v>
      </c>
      <c r="AU26" s="2" t="s">
        <v>205</v>
      </c>
      <c r="AV26" s="2" t="s">
        <v>94</v>
      </c>
      <c r="AW26" s="2" t="s">
        <v>143</v>
      </c>
      <c r="AX26" s="2" t="s">
        <v>65</v>
      </c>
    </row>
    <row r="27" spans="1:50" x14ac:dyDescent="0.25">
      <c r="A27" s="2" t="s">
        <v>83</v>
      </c>
      <c r="B27" s="2" t="s">
        <v>84</v>
      </c>
      <c r="C27" s="2" t="s">
        <v>207</v>
      </c>
      <c r="D27" s="2" t="s">
        <v>54</v>
      </c>
      <c r="E27" s="2" t="s">
        <v>208</v>
      </c>
      <c r="F27" s="2" t="s">
        <v>193</v>
      </c>
      <c r="G27" s="2" t="s">
        <v>209</v>
      </c>
      <c r="H27" s="2" t="s">
        <v>209</v>
      </c>
      <c r="I27" s="2" t="s">
        <v>210</v>
      </c>
      <c r="J27" s="2" t="s">
        <v>92</v>
      </c>
      <c r="K27" s="2" t="s">
        <v>211</v>
      </c>
      <c r="L27" s="2" t="s">
        <v>76</v>
      </c>
      <c r="M27" s="2" t="s">
        <v>212</v>
      </c>
      <c r="N27" s="2" t="s">
        <v>94</v>
      </c>
      <c r="O27" s="2" t="s">
        <v>198</v>
      </c>
      <c r="P27" s="2" t="s">
        <v>96</v>
      </c>
      <c r="R27" s="2" t="b">
        <f t="shared" si="0"/>
        <v>1</v>
      </c>
      <c r="S27" s="2" t="b">
        <f t="shared" si="1"/>
        <v>1</v>
      </c>
      <c r="T27" s="2" t="b">
        <f t="shared" si="2"/>
        <v>1</v>
      </c>
      <c r="U27" s="2" t="b">
        <f t="shared" si="3"/>
        <v>1</v>
      </c>
      <c r="V27" s="2" t="b">
        <f t="shared" si="4"/>
        <v>1</v>
      </c>
      <c r="W27" s="2" t="b">
        <f t="shared" si="5"/>
        <v>1</v>
      </c>
      <c r="X27" s="2" t="b">
        <f t="shared" si="6"/>
        <v>1</v>
      </c>
      <c r="Y27" s="2" t="b">
        <f t="shared" si="7"/>
        <v>1</v>
      </c>
      <c r="Z27" s="2" t="b">
        <f t="shared" si="8"/>
        <v>1</v>
      </c>
      <c r="AA27" s="2" t="b">
        <f t="shared" si="9"/>
        <v>1</v>
      </c>
      <c r="AB27" s="2" t="b">
        <f t="shared" si="10"/>
        <v>1</v>
      </c>
      <c r="AC27" s="2" t="b">
        <f t="shared" si="11"/>
        <v>1</v>
      </c>
      <c r="AD27" s="2" t="b">
        <f t="shared" si="12"/>
        <v>1</v>
      </c>
      <c r="AE27" s="2" t="b">
        <f t="shared" si="13"/>
        <v>1</v>
      </c>
      <c r="AF27" s="2" t="b">
        <f t="shared" si="14"/>
        <v>1</v>
      </c>
      <c r="AG27" s="2" t="b">
        <f t="shared" si="15"/>
        <v>1</v>
      </c>
      <c r="AI27" s="2" t="s">
        <v>83</v>
      </c>
      <c r="AJ27" s="2" t="s">
        <v>84</v>
      </c>
      <c r="AK27" s="2" t="s">
        <v>207</v>
      </c>
      <c r="AL27" s="2" t="s">
        <v>54</v>
      </c>
      <c r="AM27" s="2" t="s">
        <v>208</v>
      </c>
      <c r="AN27" s="2" t="s">
        <v>199</v>
      </c>
      <c r="AO27" s="2" t="s">
        <v>213</v>
      </c>
      <c r="AP27" s="2" t="s">
        <v>213</v>
      </c>
      <c r="AQ27" s="2" t="s">
        <v>210</v>
      </c>
      <c r="AR27" s="2" t="s">
        <v>92</v>
      </c>
      <c r="AS27" s="2" t="s">
        <v>211</v>
      </c>
      <c r="AT27" s="2" t="s">
        <v>76</v>
      </c>
      <c r="AU27" s="2" t="s">
        <v>212</v>
      </c>
      <c r="AV27" s="2" t="s">
        <v>94</v>
      </c>
      <c r="AW27" s="2" t="s">
        <v>198</v>
      </c>
      <c r="AX27" s="2" t="s">
        <v>96</v>
      </c>
    </row>
    <row r="28" spans="1:50" x14ac:dyDescent="0.25">
      <c r="A28" s="2" t="s">
        <v>83</v>
      </c>
      <c r="B28" s="2" t="s">
        <v>84</v>
      </c>
      <c r="C28" s="2" t="s">
        <v>214</v>
      </c>
      <c r="D28" s="2" t="s">
        <v>54</v>
      </c>
      <c r="E28" s="2" t="s">
        <v>215</v>
      </c>
      <c r="F28" s="2" t="s">
        <v>216</v>
      </c>
      <c r="G28" s="2" t="s">
        <v>209</v>
      </c>
      <c r="H28" s="2" t="s">
        <v>209</v>
      </c>
      <c r="I28" s="2" t="s">
        <v>161</v>
      </c>
      <c r="J28" s="2" t="s">
        <v>92</v>
      </c>
      <c r="K28" s="2" t="s">
        <v>217</v>
      </c>
      <c r="L28" s="2" t="s">
        <v>76</v>
      </c>
      <c r="M28" s="2" t="s">
        <v>54</v>
      </c>
      <c r="N28" s="2" t="s">
        <v>63</v>
      </c>
      <c r="O28" s="2" t="s">
        <v>218</v>
      </c>
      <c r="P28" s="2" t="s">
        <v>219</v>
      </c>
      <c r="R28" s="2" t="b">
        <f t="shared" si="0"/>
        <v>1</v>
      </c>
      <c r="S28" s="2" t="b">
        <f t="shared" si="1"/>
        <v>1</v>
      </c>
      <c r="T28" s="2" t="b">
        <f t="shared" si="2"/>
        <v>1</v>
      </c>
      <c r="U28" s="2" t="b">
        <f t="shared" si="3"/>
        <v>1</v>
      </c>
      <c r="V28" s="2" t="b">
        <f t="shared" si="4"/>
        <v>1</v>
      </c>
      <c r="W28" s="2" t="b">
        <f t="shared" si="5"/>
        <v>1</v>
      </c>
      <c r="X28" s="2" t="b">
        <f t="shared" si="6"/>
        <v>1</v>
      </c>
      <c r="Y28" s="2" t="b">
        <f t="shared" si="7"/>
        <v>1</v>
      </c>
      <c r="Z28" s="2" t="b">
        <f t="shared" si="8"/>
        <v>1</v>
      </c>
      <c r="AA28" s="2" t="b">
        <f t="shared" si="9"/>
        <v>1</v>
      </c>
      <c r="AB28" s="2" t="b">
        <f t="shared" si="10"/>
        <v>1</v>
      </c>
      <c r="AC28" s="2" t="b">
        <f t="shared" si="11"/>
        <v>1</v>
      </c>
      <c r="AD28" s="2" t="b">
        <f t="shared" si="12"/>
        <v>1</v>
      </c>
      <c r="AE28" s="2" t="b">
        <f t="shared" si="13"/>
        <v>1</v>
      </c>
      <c r="AF28" s="2" t="b">
        <f t="shared" si="14"/>
        <v>1</v>
      </c>
      <c r="AG28" s="2" t="b">
        <f t="shared" si="15"/>
        <v>1</v>
      </c>
      <c r="AI28" s="2" t="s">
        <v>83</v>
      </c>
      <c r="AJ28" s="2" t="s">
        <v>84</v>
      </c>
      <c r="AK28" s="2" t="s">
        <v>214</v>
      </c>
      <c r="AL28" s="2" t="s">
        <v>54</v>
      </c>
      <c r="AM28" s="2" t="s">
        <v>215</v>
      </c>
      <c r="AN28" s="2" t="s">
        <v>220</v>
      </c>
      <c r="AO28" s="2" t="s">
        <v>213</v>
      </c>
      <c r="AP28" s="2" t="s">
        <v>213</v>
      </c>
      <c r="AQ28" s="2" t="s">
        <v>161</v>
      </c>
      <c r="AR28" s="2" t="s">
        <v>92</v>
      </c>
      <c r="AS28" s="2" t="s">
        <v>217</v>
      </c>
      <c r="AT28" s="2" t="s">
        <v>76</v>
      </c>
      <c r="AU28" s="2" t="s">
        <v>54</v>
      </c>
      <c r="AV28" s="2" t="s">
        <v>63</v>
      </c>
      <c r="AW28" s="2" t="s">
        <v>218</v>
      </c>
      <c r="AX28" s="2" t="s">
        <v>219</v>
      </c>
    </row>
    <row r="29" spans="1:50" x14ac:dyDescent="0.25">
      <c r="A29" s="2" t="s">
        <v>51</v>
      </c>
      <c r="B29" s="2" t="s">
        <v>52</v>
      </c>
      <c r="C29" s="2" t="s">
        <v>221</v>
      </c>
      <c r="D29" s="2" t="s">
        <v>54</v>
      </c>
      <c r="E29" s="2" t="s">
        <v>222</v>
      </c>
      <c r="F29" s="2" t="s">
        <v>223</v>
      </c>
      <c r="G29" s="2" t="s">
        <v>224</v>
      </c>
      <c r="H29" s="2" t="s">
        <v>224</v>
      </c>
      <c r="I29" s="2" t="s">
        <v>59</v>
      </c>
      <c r="J29" s="2" t="s">
        <v>92</v>
      </c>
      <c r="K29" s="2" t="s">
        <v>61</v>
      </c>
      <c r="L29" s="2" t="s">
        <v>62</v>
      </c>
      <c r="M29" s="2" t="s">
        <v>54</v>
      </c>
      <c r="N29" s="2" t="s">
        <v>63</v>
      </c>
      <c r="O29" s="2" t="s">
        <v>225</v>
      </c>
      <c r="P29" s="2" t="s">
        <v>65</v>
      </c>
      <c r="R29" s="2" t="b">
        <f t="shared" si="0"/>
        <v>1</v>
      </c>
      <c r="S29" s="2" t="b">
        <f t="shared" si="1"/>
        <v>1</v>
      </c>
      <c r="T29" s="2" t="b">
        <f t="shared" si="2"/>
        <v>1</v>
      </c>
      <c r="U29" s="2" t="b">
        <f t="shared" si="3"/>
        <v>1</v>
      </c>
      <c r="V29" s="2" t="b">
        <f t="shared" si="4"/>
        <v>1</v>
      </c>
      <c r="W29" s="2" t="b">
        <f t="shared" si="5"/>
        <v>1</v>
      </c>
      <c r="X29" s="2" t="b">
        <f t="shared" si="6"/>
        <v>1</v>
      </c>
      <c r="Y29" s="2" t="b">
        <f t="shared" si="7"/>
        <v>1</v>
      </c>
      <c r="Z29" s="2" t="b">
        <f t="shared" si="8"/>
        <v>1</v>
      </c>
      <c r="AA29" s="2" t="b">
        <f t="shared" si="9"/>
        <v>1</v>
      </c>
      <c r="AB29" s="2" t="b">
        <f t="shared" si="10"/>
        <v>1</v>
      </c>
      <c r="AC29" s="2" t="b">
        <f t="shared" si="11"/>
        <v>1</v>
      </c>
      <c r="AD29" s="2" t="b">
        <f t="shared" si="12"/>
        <v>1</v>
      </c>
      <c r="AE29" s="2" t="b">
        <f t="shared" si="13"/>
        <v>1</v>
      </c>
      <c r="AF29" s="2" t="b">
        <f t="shared" si="14"/>
        <v>1</v>
      </c>
      <c r="AG29" s="2" t="b">
        <f t="shared" si="15"/>
        <v>1</v>
      </c>
      <c r="AI29" s="2" t="s">
        <v>51</v>
      </c>
      <c r="AJ29" s="2" t="s">
        <v>52</v>
      </c>
      <c r="AK29" s="2" t="s">
        <v>221</v>
      </c>
      <c r="AL29" s="2" t="s">
        <v>54</v>
      </c>
      <c r="AM29" s="2" t="s">
        <v>222</v>
      </c>
      <c r="AN29" s="2" t="s">
        <v>226</v>
      </c>
      <c r="AO29" s="2" t="s">
        <v>227</v>
      </c>
      <c r="AP29" s="2" t="s">
        <v>227</v>
      </c>
      <c r="AQ29" s="2" t="s">
        <v>59</v>
      </c>
      <c r="AR29" s="2" t="s">
        <v>92</v>
      </c>
      <c r="AS29" s="2" t="s">
        <v>61</v>
      </c>
      <c r="AT29" s="2" t="s">
        <v>62</v>
      </c>
      <c r="AU29" s="2" t="s">
        <v>54</v>
      </c>
      <c r="AV29" s="2" t="s">
        <v>63</v>
      </c>
      <c r="AW29" s="2" t="s">
        <v>225</v>
      </c>
      <c r="AX29" s="2" t="s">
        <v>65</v>
      </c>
    </row>
    <row r="30" spans="1:50" x14ac:dyDescent="0.25">
      <c r="A30" s="2" t="s">
        <v>51</v>
      </c>
      <c r="B30" s="2" t="s">
        <v>52</v>
      </c>
      <c r="C30" s="2" t="s">
        <v>228</v>
      </c>
      <c r="D30" s="2" t="s">
        <v>54</v>
      </c>
      <c r="E30" s="2" t="s">
        <v>229</v>
      </c>
      <c r="F30" s="2" t="s">
        <v>230</v>
      </c>
      <c r="G30" s="2" t="s">
        <v>231</v>
      </c>
      <c r="H30" s="2" t="s">
        <v>232</v>
      </c>
      <c r="I30" s="2" t="s">
        <v>233</v>
      </c>
      <c r="J30" s="2" t="s">
        <v>234</v>
      </c>
      <c r="K30" s="2" t="s">
        <v>235</v>
      </c>
      <c r="L30" s="2" t="s">
        <v>76</v>
      </c>
      <c r="M30" s="2" t="s">
        <v>104</v>
      </c>
      <c r="N30" s="2" t="s">
        <v>63</v>
      </c>
      <c r="O30" s="2" t="s">
        <v>236</v>
      </c>
      <c r="P30" s="2" t="s">
        <v>130</v>
      </c>
      <c r="R30" s="2" t="b">
        <f t="shared" si="0"/>
        <v>1</v>
      </c>
      <c r="S30" s="2" t="b">
        <f t="shared" si="1"/>
        <v>1</v>
      </c>
      <c r="T30" s="2" t="b">
        <f t="shared" si="2"/>
        <v>1</v>
      </c>
      <c r="U30" s="2" t="b">
        <f t="shared" si="3"/>
        <v>1</v>
      </c>
      <c r="V30" s="2" t="b">
        <f t="shared" si="4"/>
        <v>1</v>
      </c>
      <c r="W30" s="2" t="b">
        <f t="shared" si="5"/>
        <v>1</v>
      </c>
      <c r="X30" s="2" t="b">
        <f t="shared" si="6"/>
        <v>1</v>
      </c>
      <c r="Y30" s="2" t="b">
        <f t="shared" si="7"/>
        <v>1</v>
      </c>
      <c r="Z30" s="2" t="b">
        <f t="shared" si="8"/>
        <v>1</v>
      </c>
      <c r="AA30" s="2" t="b">
        <f t="shared" si="9"/>
        <v>1</v>
      </c>
      <c r="AB30" s="2" t="b">
        <f t="shared" si="10"/>
        <v>1</v>
      </c>
      <c r="AC30" s="2" t="b">
        <f t="shared" si="11"/>
        <v>1</v>
      </c>
      <c r="AD30" s="2" t="b">
        <f t="shared" si="12"/>
        <v>1</v>
      </c>
      <c r="AE30" s="2" t="b">
        <f t="shared" si="13"/>
        <v>1</v>
      </c>
      <c r="AF30" s="2" t="b">
        <f t="shared" si="14"/>
        <v>1</v>
      </c>
      <c r="AG30" s="2" t="b">
        <f t="shared" si="15"/>
        <v>1</v>
      </c>
      <c r="AI30" s="2" t="s">
        <v>51</v>
      </c>
      <c r="AJ30" s="2" t="s">
        <v>52</v>
      </c>
      <c r="AK30" s="2" t="s">
        <v>228</v>
      </c>
      <c r="AL30" s="2" t="s">
        <v>54</v>
      </c>
      <c r="AM30" s="2" t="s">
        <v>229</v>
      </c>
      <c r="AN30" s="2" t="s">
        <v>237</v>
      </c>
      <c r="AO30" s="2" t="s">
        <v>238</v>
      </c>
      <c r="AP30" s="2" t="s">
        <v>239</v>
      </c>
      <c r="AQ30" s="2" t="s">
        <v>233</v>
      </c>
      <c r="AR30" s="2" t="s">
        <v>234</v>
      </c>
      <c r="AS30" s="2" t="s">
        <v>235</v>
      </c>
      <c r="AT30" s="2" t="s">
        <v>76</v>
      </c>
      <c r="AU30" s="2" t="s">
        <v>104</v>
      </c>
      <c r="AV30" s="2" t="s">
        <v>63</v>
      </c>
      <c r="AW30" s="2" t="s">
        <v>236</v>
      </c>
      <c r="AX30" s="2" t="s">
        <v>130</v>
      </c>
    </row>
    <row r="31" spans="1:50" x14ac:dyDescent="0.25">
      <c r="A31" s="2" t="s">
        <v>83</v>
      </c>
      <c r="B31" s="2" t="s">
        <v>84</v>
      </c>
      <c r="C31" s="2" t="s">
        <v>240</v>
      </c>
      <c r="D31" s="2" t="s">
        <v>54</v>
      </c>
      <c r="E31" s="2" t="s">
        <v>241</v>
      </c>
      <c r="F31" s="2" t="s">
        <v>242</v>
      </c>
      <c r="G31" s="2" t="s">
        <v>243</v>
      </c>
      <c r="H31" s="2" t="s">
        <v>243</v>
      </c>
      <c r="I31" s="2" t="s">
        <v>161</v>
      </c>
      <c r="J31" s="2" t="s">
        <v>92</v>
      </c>
      <c r="K31" s="2" t="s">
        <v>217</v>
      </c>
      <c r="L31" s="2" t="s">
        <v>76</v>
      </c>
      <c r="M31" s="2" t="s">
        <v>54</v>
      </c>
      <c r="N31" s="2" t="s">
        <v>63</v>
      </c>
      <c r="O31" s="2" t="s">
        <v>218</v>
      </c>
      <c r="P31" s="2" t="s">
        <v>219</v>
      </c>
      <c r="R31" s="2" t="b">
        <f t="shared" si="0"/>
        <v>1</v>
      </c>
      <c r="S31" s="2" t="b">
        <f t="shared" si="1"/>
        <v>1</v>
      </c>
      <c r="T31" s="2" t="b">
        <f t="shared" si="2"/>
        <v>1</v>
      </c>
      <c r="U31" s="2" t="b">
        <f t="shared" si="3"/>
        <v>1</v>
      </c>
      <c r="V31" s="2" t="b">
        <f t="shared" si="4"/>
        <v>1</v>
      </c>
      <c r="W31" s="2" t="b">
        <f t="shared" si="5"/>
        <v>1</v>
      </c>
      <c r="X31" s="2" t="b">
        <f t="shared" si="6"/>
        <v>1</v>
      </c>
      <c r="Y31" s="2" t="b">
        <f t="shared" si="7"/>
        <v>1</v>
      </c>
      <c r="Z31" s="2" t="b">
        <f t="shared" si="8"/>
        <v>1</v>
      </c>
      <c r="AA31" s="2" t="b">
        <f t="shared" si="9"/>
        <v>1</v>
      </c>
      <c r="AB31" s="2" t="b">
        <f t="shared" si="10"/>
        <v>1</v>
      </c>
      <c r="AC31" s="2" t="b">
        <f t="shared" si="11"/>
        <v>1</v>
      </c>
      <c r="AD31" s="2" t="b">
        <f t="shared" si="12"/>
        <v>1</v>
      </c>
      <c r="AE31" s="2" t="b">
        <f t="shared" si="13"/>
        <v>1</v>
      </c>
      <c r="AF31" s="2" t="b">
        <f t="shared" si="14"/>
        <v>1</v>
      </c>
      <c r="AG31" s="2" t="b">
        <f t="shared" si="15"/>
        <v>1</v>
      </c>
      <c r="AI31" s="2" t="s">
        <v>83</v>
      </c>
      <c r="AJ31" s="2" t="s">
        <v>84</v>
      </c>
      <c r="AK31" s="2" t="s">
        <v>240</v>
      </c>
      <c r="AL31" s="2" t="s">
        <v>54</v>
      </c>
      <c r="AM31" s="2" t="s">
        <v>241</v>
      </c>
      <c r="AN31" s="2" t="s">
        <v>244</v>
      </c>
      <c r="AO31" s="2" t="s">
        <v>245</v>
      </c>
      <c r="AP31" s="2" t="s">
        <v>245</v>
      </c>
      <c r="AQ31" s="2" t="s">
        <v>161</v>
      </c>
      <c r="AR31" s="2" t="s">
        <v>92</v>
      </c>
      <c r="AS31" s="2" t="s">
        <v>217</v>
      </c>
      <c r="AT31" s="2" t="s">
        <v>76</v>
      </c>
      <c r="AU31" s="2" t="s">
        <v>54</v>
      </c>
      <c r="AV31" s="2" t="s">
        <v>63</v>
      </c>
      <c r="AW31" s="2" t="s">
        <v>218</v>
      </c>
      <c r="AX31" s="2" t="s">
        <v>219</v>
      </c>
    </row>
    <row r="32" spans="1:50" x14ac:dyDescent="0.25">
      <c r="A32" s="2" t="s">
        <v>51</v>
      </c>
      <c r="B32" s="2" t="s">
        <v>52</v>
      </c>
      <c r="C32" s="2" t="s">
        <v>246</v>
      </c>
      <c r="D32" s="2" t="s">
        <v>54</v>
      </c>
      <c r="E32" s="2" t="s">
        <v>247</v>
      </c>
      <c r="F32" s="2" t="s">
        <v>231</v>
      </c>
      <c r="G32" s="2" t="s">
        <v>58</v>
      </c>
      <c r="H32" s="2" t="s">
        <v>248</v>
      </c>
      <c r="I32" s="2" t="s">
        <v>161</v>
      </c>
      <c r="J32" s="2" t="s">
        <v>74</v>
      </c>
      <c r="K32" s="2" t="s">
        <v>217</v>
      </c>
      <c r="L32" s="2" t="s">
        <v>76</v>
      </c>
      <c r="M32" s="2" t="s">
        <v>54</v>
      </c>
      <c r="N32" s="2" t="s">
        <v>63</v>
      </c>
      <c r="O32" s="2" t="s">
        <v>249</v>
      </c>
      <c r="P32" s="2" t="s">
        <v>250</v>
      </c>
      <c r="R32" s="2" t="b">
        <f t="shared" si="0"/>
        <v>1</v>
      </c>
      <c r="S32" s="2" t="b">
        <f t="shared" si="1"/>
        <v>1</v>
      </c>
      <c r="T32" s="2" t="b">
        <f t="shared" si="2"/>
        <v>1</v>
      </c>
      <c r="U32" s="2" t="b">
        <f t="shared" si="3"/>
        <v>1</v>
      </c>
      <c r="V32" s="2" t="b">
        <f t="shared" si="4"/>
        <v>1</v>
      </c>
      <c r="W32" s="2" t="b">
        <f t="shared" si="5"/>
        <v>1</v>
      </c>
      <c r="X32" s="2" t="b">
        <f t="shared" si="6"/>
        <v>1</v>
      </c>
      <c r="Y32" s="2" t="b">
        <f t="shared" si="7"/>
        <v>1</v>
      </c>
      <c r="Z32" s="2" t="b">
        <f t="shared" si="8"/>
        <v>1</v>
      </c>
      <c r="AA32" s="2" t="b">
        <f t="shared" si="9"/>
        <v>1</v>
      </c>
      <c r="AB32" s="2" t="b">
        <f t="shared" si="10"/>
        <v>1</v>
      </c>
      <c r="AC32" s="2" t="b">
        <f t="shared" si="11"/>
        <v>1</v>
      </c>
      <c r="AD32" s="2" t="b">
        <f t="shared" si="12"/>
        <v>1</v>
      </c>
      <c r="AE32" s="2" t="b">
        <f t="shared" si="13"/>
        <v>1</v>
      </c>
      <c r="AF32" s="2" t="b">
        <f t="shared" si="14"/>
        <v>1</v>
      </c>
      <c r="AG32" s="2" t="b">
        <f t="shared" si="15"/>
        <v>1</v>
      </c>
      <c r="AI32" s="2" t="s">
        <v>51</v>
      </c>
      <c r="AJ32" s="2" t="s">
        <v>52</v>
      </c>
      <c r="AK32" s="2" t="s">
        <v>246</v>
      </c>
      <c r="AL32" s="2" t="s">
        <v>54</v>
      </c>
      <c r="AM32" s="2" t="s">
        <v>247</v>
      </c>
      <c r="AN32" s="2" t="s">
        <v>238</v>
      </c>
      <c r="AO32" s="2" t="s">
        <v>68</v>
      </c>
      <c r="AP32" s="2" t="s">
        <v>251</v>
      </c>
      <c r="AQ32" s="2" t="s">
        <v>161</v>
      </c>
      <c r="AR32" s="2" t="s">
        <v>74</v>
      </c>
      <c r="AS32" s="2" t="s">
        <v>217</v>
      </c>
      <c r="AT32" s="2" t="s">
        <v>76</v>
      </c>
      <c r="AU32" s="2" t="s">
        <v>54</v>
      </c>
      <c r="AV32" s="2" t="s">
        <v>63</v>
      </c>
      <c r="AW32" s="2" t="s">
        <v>249</v>
      </c>
      <c r="AX32" s="2" t="s">
        <v>250</v>
      </c>
    </row>
    <row r="33" spans="1:50" x14ac:dyDescent="0.25">
      <c r="A33" s="2" t="s">
        <v>83</v>
      </c>
      <c r="B33" s="2" t="s">
        <v>84</v>
      </c>
      <c r="C33" s="2" t="s">
        <v>252</v>
      </c>
      <c r="D33" s="2" t="s">
        <v>54</v>
      </c>
      <c r="E33" s="2" t="s">
        <v>253</v>
      </c>
      <c r="F33" s="2" t="s">
        <v>72</v>
      </c>
      <c r="G33" s="2" t="s">
        <v>254</v>
      </c>
      <c r="H33" s="2" t="s">
        <v>254</v>
      </c>
      <c r="I33" s="2" t="s">
        <v>210</v>
      </c>
      <c r="J33" s="2" t="s">
        <v>92</v>
      </c>
      <c r="K33" s="2" t="s">
        <v>110</v>
      </c>
      <c r="L33" s="2" t="s">
        <v>76</v>
      </c>
      <c r="M33" s="2" t="s">
        <v>111</v>
      </c>
      <c r="N33" s="2" t="s">
        <v>94</v>
      </c>
      <c r="O33" s="2" t="s">
        <v>198</v>
      </c>
      <c r="P33" s="2" t="s">
        <v>96</v>
      </c>
      <c r="R33" s="2" t="b">
        <f t="shared" si="0"/>
        <v>1</v>
      </c>
      <c r="S33" s="2" t="b">
        <f t="shared" si="1"/>
        <v>1</v>
      </c>
      <c r="T33" s="2" t="b">
        <f t="shared" si="2"/>
        <v>1</v>
      </c>
      <c r="U33" s="2" t="b">
        <f t="shared" si="3"/>
        <v>1</v>
      </c>
      <c r="V33" s="2" t="b">
        <f t="shared" si="4"/>
        <v>1</v>
      </c>
      <c r="W33" s="2" t="b">
        <f t="shared" si="5"/>
        <v>1</v>
      </c>
      <c r="X33" s="2" t="b">
        <f t="shared" si="6"/>
        <v>1</v>
      </c>
      <c r="Y33" s="2" t="b">
        <f t="shared" si="7"/>
        <v>1</v>
      </c>
      <c r="Z33" s="2" t="b">
        <f t="shared" si="8"/>
        <v>1</v>
      </c>
      <c r="AA33" s="2" t="b">
        <f t="shared" si="9"/>
        <v>1</v>
      </c>
      <c r="AB33" s="2" t="b">
        <f t="shared" si="10"/>
        <v>1</v>
      </c>
      <c r="AC33" s="2" t="b">
        <f t="shared" si="11"/>
        <v>1</v>
      </c>
      <c r="AD33" s="2" t="b">
        <f t="shared" si="12"/>
        <v>1</v>
      </c>
      <c r="AE33" s="2" t="b">
        <f t="shared" si="13"/>
        <v>1</v>
      </c>
      <c r="AF33" s="2" t="b">
        <f t="shared" si="14"/>
        <v>1</v>
      </c>
      <c r="AG33" s="2" t="b">
        <f t="shared" si="15"/>
        <v>1</v>
      </c>
      <c r="AI33" s="2" t="s">
        <v>83</v>
      </c>
      <c r="AJ33" s="2" t="s">
        <v>84</v>
      </c>
      <c r="AK33" s="2" t="s">
        <v>252</v>
      </c>
      <c r="AL33" s="2" t="s">
        <v>54</v>
      </c>
      <c r="AM33" s="2" t="s">
        <v>253</v>
      </c>
      <c r="AN33" s="2" t="s">
        <v>82</v>
      </c>
      <c r="AO33" s="2" t="s">
        <v>255</v>
      </c>
      <c r="AP33" s="2" t="s">
        <v>255</v>
      </c>
      <c r="AQ33" s="2" t="s">
        <v>210</v>
      </c>
      <c r="AR33" s="2" t="s">
        <v>92</v>
      </c>
      <c r="AS33" s="2" t="s">
        <v>110</v>
      </c>
      <c r="AT33" s="2" t="s">
        <v>76</v>
      </c>
      <c r="AU33" s="2" t="s">
        <v>111</v>
      </c>
      <c r="AV33" s="2" t="s">
        <v>94</v>
      </c>
      <c r="AW33" s="2" t="s">
        <v>198</v>
      </c>
      <c r="AX33" s="2" t="s">
        <v>96</v>
      </c>
    </row>
    <row r="34" spans="1:50" x14ac:dyDescent="0.25">
      <c r="A34" s="2" t="s">
        <v>83</v>
      </c>
      <c r="B34" s="2" t="s">
        <v>84</v>
      </c>
      <c r="C34" s="2" t="s">
        <v>256</v>
      </c>
      <c r="D34" s="2" t="s">
        <v>54</v>
      </c>
      <c r="E34" s="2" t="s">
        <v>257</v>
      </c>
      <c r="F34" s="2" t="s">
        <v>258</v>
      </c>
      <c r="G34" s="2" t="s">
        <v>259</v>
      </c>
      <c r="H34" s="2" t="s">
        <v>259</v>
      </c>
      <c r="I34" s="2" t="s">
        <v>91</v>
      </c>
      <c r="J34" s="2" t="s">
        <v>92</v>
      </c>
      <c r="K34" s="2" t="s">
        <v>260</v>
      </c>
      <c r="L34" s="2" t="s">
        <v>76</v>
      </c>
      <c r="M34" s="2" t="s">
        <v>261</v>
      </c>
      <c r="N34" s="2" t="s">
        <v>94</v>
      </c>
      <c r="O34" s="2" t="s">
        <v>95</v>
      </c>
      <c r="P34" s="2" t="s">
        <v>96</v>
      </c>
      <c r="R34" s="2" t="b">
        <f t="shared" si="0"/>
        <v>1</v>
      </c>
      <c r="S34" s="2" t="b">
        <f t="shared" si="1"/>
        <v>1</v>
      </c>
      <c r="T34" s="2" t="b">
        <f t="shared" si="2"/>
        <v>1</v>
      </c>
      <c r="U34" s="2" t="b">
        <f t="shared" si="3"/>
        <v>1</v>
      </c>
      <c r="V34" s="2" t="b">
        <f t="shared" si="4"/>
        <v>1</v>
      </c>
      <c r="W34" s="2" t="b">
        <f t="shared" si="5"/>
        <v>1</v>
      </c>
      <c r="X34" s="2" t="b">
        <f t="shared" si="6"/>
        <v>1</v>
      </c>
      <c r="Y34" s="2" t="b">
        <f t="shared" si="7"/>
        <v>1</v>
      </c>
      <c r="Z34" s="2" t="b">
        <f t="shared" si="8"/>
        <v>1</v>
      </c>
      <c r="AA34" s="2" t="b">
        <f t="shared" si="9"/>
        <v>1</v>
      </c>
      <c r="AB34" s="2" t="b">
        <f t="shared" si="10"/>
        <v>1</v>
      </c>
      <c r="AC34" s="2" t="b">
        <f t="shared" si="11"/>
        <v>1</v>
      </c>
      <c r="AD34" s="2" t="b">
        <f t="shared" si="12"/>
        <v>1</v>
      </c>
      <c r="AE34" s="2" t="b">
        <f t="shared" si="13"/>
        <v>1</v>
      </c>
      <c r="AF34" s="2" t="b">
        <f t="shared" si="14"/>
        <v>1</v>
      </c>
      <c r="AG34" s="2" t="b">
        <f t="shared" si="15"/>
        <v>1</v>
      </c>
      <c r="AI34" s="2" t="s">
        <v>83</v>
      </c>
      <c r="AJ34" s="2" t="s">
        <v>84</v>
      </c>
      <c r="AK34" s="2" t="s">
        <v>256</v>
      </c>
      <c r="AL34" s="2" t="s">
        <v>54</v>
      </c>
      <c r="AM34" s="2" t="s">
        <v>257</v>
      </c>
      <c r="AN34" s="2" t="s">
        <v>262</v>
      </c>
      <c r="AO34" s="2" t="s">
        <v>263</v>
      </c>
      <c r="AP34" s="2" t="s">
        <v>263</v>
      </c>
      <c r="AQ34" s="2" t="s">
        <v>91</v>
      </c>
      <c r="AR34" s="2" t="s">
        <v>92</v>
      </c>
      <c r="AS34" s="2" t="s">
        <v>260</v>
      </c>
      <c r="AT34" s="2" t="s">
        <v>76</v>
      </c>
      <c r="AU34" s="2" t="s">
        <v>261</v>
      </c>
      <c r="AV34" s="2" t="s">
        <v>94</v>
      </c>
      <c r="AW34" s="2" t="s">
        <v>95</v>
      </c>
      <c r="AX34" s="2" t="s">
        <v>96</v>
      </c>
    </row>
    <row r="35" spans="1:50" x14ac:dyDescent="0.25">
      <c r="A35" s="2" t="s">
        <v>83</v>
      </c>
      <c r="B35" s="2" t="s">
        <v>84</v>
      </c>
      <c r="C35" s="2" t="s">
        <v>264</v>
      </c>
      <c r="D35" s="2" t="s">
        <v>54</v>
      </c>
      <c r="E35" s="2" t="s">
        <v>265</v>
      </c>
      <c r="F35" s="2" t="s">
        <v>266</v>
      </c>
      <c r="G35" s="2" t="s">
        <v>267</v>
      </c>
      <c r="H35" s="2" t="s">
        <v>267</v>
      </c>
      <c r="I35" s="2" t="s">
        <v>233</v>
      </c>
      <c r="J35" s="2" t="s">
        <v>92</v>
      </c>
      <c r="K35" s="2" t="s">
        <v>268</v>
      </c>
      <c r="L35" s="2" t="s">
        <v>76</v>
      </c>
      <c r="M35" s="2" t="s">
        <v>269</v>
      </c>
      <c r="N35" s="2" t="s">
        <v>63</v>
      </c>
      <c r="O35" s="2" t="s">
        <v>270</v>
      </c>
      <c r="P35" s="2" t="s">
        <v>271</v>
      </c>
      <c r="R35" s="2" t="b">
        <f t="shared" si="0"/>
        <v>1</v>
      </c>
      <c r="S35" s="2" t="b">
        <f t="shared" si="1"/>
        <v>1</v>
      </c>
      <c r="T35" s="2" t="b">
        <f t="shared" si="2"/>
        <v>1</v>
      </c>
      <c r="U35" s="2" t="b">
        <f t="shared" si="3"/>
        <v>1</v>
      </c>
      <c r="V35" s="2" t="b">
        <f t="shared" si="4"/>
        <v>1</v>
      </c>
      <c r="W35" s="2" t="b">
        <f t="shared" si="5"/>
        <v>1</v>
      </c>
      <c r="X35" s="2" t="b">
        <f t="shared" si="6"/>
        <v>1</v>
      </c>
      <c r="Y35" s="2" t="b">
        <f t="shared" si="7"/>
        <v>1</v>
      </c>
      <c r="Z35" s="2" t="b">
        <f t="shared" si="8"/>
        <v>1</v>
      </c>
      <c r="AA35" s="2" t="b">
        <f t="shared" si="9"/>
        <v>1</v>
      </c>
      <c r="AB35" s="2" t="b">
        <f t="shared" si="10"/>
        <v>1</v>
      </c>
      <c r="AC35" s="2" t="b">
        <f t="shared" si="11"/>
        <v>1</v>
      </c>
      <c r="AD35" s="2" t="b">
        <f t="shared" si="12"/>
        <v>1</v>
      </c>
      <c r="AE35" s="2" t="b">
        <f t="shared" si="13"/>
        <v>1</v>
      </c>
      <c r="AF35" s="2" t="b">
        <f t="shared" si="14"/>
        <v>1</v>
      </c>
      <c r="AG35" s="2" t="b">
        <f t="shared" si="15"/>
        <v>1</v>
      </c>
      <c r="AI35" s="2" t="s">
        <v>83</v>
      </c>
      <c r="AJ35" s="2" t="s">
        <v>84</v>
      </c>
      <c r="AK35" s="2" t="s">
        <v>264</v>
      </c>
      <c r="AL35" s="2" t="s">
        <v>54</v>
      </c>
      <c r="AM35" s="2" t="s">
        <v>265</v>
      </c>
      <c r="AN35" s="2" t="s">
        <v>272</v>
      </c>
      <c r="AO35" s="2" t="s">
        <v>273</v>
      </c>
      <c r="AP35" s="2" t="s">
        <v>273</v>
      </c>
      <c r="AQ35" s="2" t="s">
        <v>233</v>
      </c>
      <c r="AR35" s="2" t="s">
        <v>92</v>
      </c>
      <c r="AS35" s="2" t="s">
        <v>268</v>
      </c>
      <c r="AT35" s="2" t="s">
        <v>76</v>
      </c>
      <c r="AU35" s="2" t="s">
        <v>269</v>
      </c>
      <c r="AV35" s="2" t="s">
        <v>63</v>
      </c>
      <c r="AW35" s="2" t="s">
        <v>270</v>
      </c>
      <c r="AX35" s="2" t="s">
        <v>271</v>
      </c>
    </row>
    <row r="36" spans="1:50" x14ac:dyDescent="0.25">
      <c r="A36" s="2" t="s">
        <v>83</v>
      </c>
      <c r="B36" s="2" t="s">
        <v>84</v>
      </c>
      <c r="C36" s="2" t="s">
        <v>274</v>
      </c>
      <c r="D36" s="2" t="s">
        <v>54</v>
      </c>
      <c r="E36" s="2" t="s">
        <v>275</v>
      </c>
      <c r="F36" s="2" t="s">
        <v>108</v>
      </c>
      <c r="G36" s="2" t="s">
        <v>276</v>
      </c>
      <c r="H36" s="2" t="s">
        <v>276</v>
      </c>
      <c r="I36" s="2" t="s">
        <v>233</v>
      </c>
      <c r="J36" s="2" t="s">
        <v>92</v>
      </c>
      <c r="K36" s="2" t="s">
        <v>277</v>
      </c>
      <c r="L36" s="2" t="s">
        <v>76</v>
      </c>
      <c r="M36" s="2" t="s">
        <v>205</v>
      </c>
      <c r="N36" s="2" t="s">
        <v>63</v>
      </c>
      <c r="O36" s="2" t="s">
        <v>270</v>
      </c>
      <c r="P36" s="2" t="s">
        <v>271</v>
      </c>
      <c r="R36" s="2" t="b">
        <f t="shared" si="0"/>
        <v>1</v>
      </c>
      <c r="S36" s="2" t="b">
        <f t="shared" si="1"/>
        <v>1</v>
      </c>
      <c r="T36" s="2" t="b">
        <f t="shared" si="2"/>
        <v>1</v>
      </c>
      <c r="U36" s="2" t="b">
        <f t="shared" si="3"/>
        <v>1</v>
      </c>
      <c r="V36" s="2" t="b">
        <f t="shared" si="4"/>
        <v>1</v>
      </c>
      <c r="W36" s="2" t="b">
        <f t="shared" si="5"/>
        <v>1</v>
      </c>
      <c r="X36" s="2" t="b">
        <f t="shared" si="6"/>
        <v>1</v>
      </c>
      <c r="Y36" s="2" t="b">
        <f t="shared" si="7"/>
        <v>1</v>
      </c>
      <c r="Z36" s="2" t="b">
        <f t="shared" si="8"/>
        <v>1</v>
      </c>
      <c r="AA36" s="2" t="b">
        <f t="shared" si="9"/>
        <v>1</v>
      </c>
      <c r="AB36" s="2" t="b">
        <f t="shared" si="10"/>
        <v>1</v>
      </c>
      <c r="AC36" s="2" t="b">
        <f t="shared" si="11"/>
        <v>1</v>
      </c>
      <c r="AD36" s="2" t="b">
        <f t="shared" si="12"/>
        <v>1</v>
      </c>
      <c r="AE36" s="2" t="b">
        <f t="shared" si="13"/>
        <v>1</v>
      </c>
      <c r="AF36" s="2" t="b">
        <f t="shared" si="14"/>
        <v>1</v>
      </c>
      <c r="AG36" s="2" t="b">
        <f t="shared" si="15"/>
        <v>1</v>
      </c>
      <c r="AI36" s="2" t="s">
        <v>83</v>
      </c>
      <c r="AJ36" s="2" t="s">
        <v>84</v>
      </c>
      <c r="AK36" s="2" t="s">
        <v>274</v>
      </c>
      <c r="AL36" s="2" t="s">
        <v>54</v>
      </c>
      <c r="AM36" s="2" t="s">
        <v>275</v>
      </c>
      <c r="AN36" s="2" t="s">
        <v>113</v>
      </c>
      <c r="AO36" s="2" t="s">
        <v>278</v>
      </c>
      <c r="AP36" s="2" t="s">
        <v>278</v>
      </c>
      <c r="AQ36" s="2" t="s">
        <v>233</v>
      </c>
      <c r="AR36" s="2" t="s">
        <v>92</v>
      </c>
      <c r="AS36" s="2" t="s">
        <v>277</v>
      </c>
      <c r="AT36" s="2" t="s">
        <v>76</v>
      </c>
      <c r="AU36" s="2" t="s">
        <v>205</v>
      </c>
      <c r="AV36" s="2" t="s">
        <v>63</v>
      </c>
      <c r="AW36" s="2" t="s">
        <v>270</v>
      </c>
      <c r="AX36" s="2" t="s">
        <v>271</v>
      </c>
    </row>
    <row r="37" spans="1:50" x14ac:dyDescent="0.25">
      <c r="A37" s="2" t="s">
        <v>83</v>
      </c>
      <c r="B37" s="2" t="s">
        <v>84</v>
      </c>
      <c r="C37" s="2" t="s">
        <v>279</v>
      </c>
      <c r="D37" s="2" t="s">
        <v>54</v>
      </c>
      <c r="E37" s="2" t="s">
        <v>280</v>
      </c>
      <c r="F37" s="2" t="s">
        <v>281</v>
      </c>
      <c r="G37" s="2" t="s">
        <v>282</v>
      </c>
      <c r="H37" s="2" t="s">
        <v>282</v>
      </c>
      <c r="I37" s="2" t="s">
        <v>283</v>
      </c>
      <c r="J37" s="2" t="s">
        <v>92</v>
      </c>
      <c r="K37" s="2" t="s">
        <v>211</v>
      </c>
      <c r="L37" s="2" t="s">
        <v>76</v>
      </c>
      <c r="M37" s="2" t="s">
        <v>212</v>
      </c>
      <c r="N37" s="2" t="s">
        <v>94</v>
      </c>
      <c r="O37" s="2" t="s">
        <v>180</v>
      </c>
      <c r="P37" s="2" t="s">
        <v>181</v>
      </c>
      <c r="R37" s="2" t="b">
        <f t="shared" si="0"/>
        <v>1</v>
      </c>
      <c r="S37" s="2" t="b">
        <f t="shared" si="1"/>
        <v>1</v>
      </c>
      <c r="T37" s="2" t="b">
        <f t="shared" si="2"/>
        <v>1</v>
      </c>
      <c r="U37" s="2" t="b">
        <f t="shared" si="3"/>
        <v>1</v>
      </c>
      <c r="V37" s="2" t="b">
        <f t="shared" si="4"/>
        <v>1</v>
      </c>
      <c r="W37" s="2" t="b">
        <f t="shared" si="5"/>
        <v>1</v>
      </c>
      <c r="X37" s="2" t="b">
        <f t="shared" si="6"/>
        <v>1</v>
      </c>
      <c r="Y37" s="2" t="b">
        <f t="shared" si="7"/>
        <v>1</v>
      </c>
      <c r="Z37" s="2" t="b">
        <f t="shared" si="8"/>
        <v>1</v>
      </c>
      <c r="AA37" s="2" t="b">
        <f t="shared" si="9"/>
        <v>1</v>
      </c>
      <c r="AB37" s="2" t="b">
        <f t="shared" si="10"/>
        <v>1</v>
      </c>
      <c r="AC37" s="2" t="b">
        <f t="shared" si="11"/>
        <v>1</v>
      </c>
      <c r="AD37" s="2" t="b">
        <f t="shared" si="12"/>
        <v>1</v>
      </c>
      <c r="AE37" s="2" t="b">
        <f t="shared" si="13"/>
        <v>1</v>
      </c>
      <c r="AF37" s="2" t="b">
        <f t="shared" si="14"/>
        <v>1</v>
      </c>
      <c r="AG37" s="2" t="b">
        <f t="shared" si="15"/>
        <v>1</v>
      </c>
      <c r="AI37" s="2" t="s">
        <v>83</v>
      </c>
      <c r="AJ37" s="2" t="s">
        <v>84</v>
      </c>
      <c r="AK37" s="2" t="s">
        <v>279</v>
      </c>
      <c r="AL37" s="2" t="s">
        <v>54</v>
      </c>
      <c r="AM37" s="2" t="s">
        <v>280</v>
      </c>
      <c r="AN37" s="2" t="s">
        <v>284</v>
      </c>
      <c r="AO37" s="2" t="s">
        <v>285</v>
      </c>
      <c r="AP37" s="2" t="s">
        <v>285</v>
      </c>
      <c r="AQ37" s="2" t="s">
        <v>283</v>
      </c>
      <c r="AR37" s="2" t="s">
        <v>92</v>
      </c>
      <c r="AS37" s="2" t="s">
        <v>211</v>
      </c>
      <c r="AT37" s="2" t="s">
        <v>76</v>
      </c>
      <c r="AU37" s="2" t="s">
        <v>212</v>
      </c>
      <c r="AV37" s="2" t="s">
        <v>94</v>
      </c>
      <c r="AW37" s="2" t="s">
        <v>180</v>
      </c>
      <c r="AX37" s="2" t="s">
        <v>181</v>
      </c>
    </row>
    <row r="38" spans="1:50" x14ac:dyDescent="0.25">
      <c r="A38" s="2" t="s">
        <v>51</v>
      </c>
      <c r="B38" s="2" t="s">
        <v>52</v>
      </c>
      <c r="C38" s="2" t="s">
        <v>286</v>
      </c>
      <c r="D38" s="2" t="s">
        <v>54</v>
      </c>
      <c r="E38" s="2" t="s">
        <v>287</v>
      </c>
      <c r="F38" s="2" t="s">
        <v>288</v>
      </c>
      <c r="G38" s="2" t="s">
        <v>289</v>
      </c>
      <c r="H38" s="2" t="s">
        <v>289</v>
      </c>
      <c r="I38" s="2" t="s">
        <v>233</v>
      </c>
      <c r="J38" s="2" t="s">
        <v>92</v>
      </c>
      <c r="K38" s="2" t="s">
        <v>268</v>
      </c>
      <c r="L38" s="2" t="s">
        <v>76</v>
      </c>
      <c r="M38" s="2" t="s">
        <v>269</v>
      </c>
      <c r="N38" s="2" t="s">
        <v>63</v>
      </c>
      <c r="O38" s="2" t="s">
        <v>290</v>
      </c>
      <c r="P38" s="2" t="s">
        <v>130</v>
      </c>
      <c r="R38" s="2" t="b">
        <f t="shared" si="0"/>
        <v>1</v>
      </c>
      <c r="S38" s="2" t="b">
        <f t="shared" si="1"/>
        <v>1</v>
      </c>
      <c r="T38" s="2" t="b">
        <f t="shared" si="2"/>
        <v>1</v>
      </c>
      <c r="U38" s="2" t="b">
        <f t="shared" si="3"/>
        <v>1</v>
      </c>
      <c r="V38" s="2" t="b">
        <f t="shared" si="4"/>
        <v>1</v>
      </c>
      <c r="W38" s="2" t="b">
        <f t="shared" si="5"/>
        <v>1</v>
      </c>
      <c r="X38" s="2" t="b">
        <f t="shared" si="6"/>
        <v>1</v>
      </c>
      <c r="Y38" s="2" t="b">
        <f t="shared" si="7"/>
        <v>1</v>
      </c>
      <c r="Z38" s="2" t="b">
        <f t="shared" si="8"/>
        <v>1</v>
      </c>
      <c r="AA38" s="2" t="b">
        <f t="shared" si="9"/>
        <v>1</v>
      </c>
      <c r="AB38" s="2" t="b">
        <f t="shared" si="10"/>
        <v>1</v>
      </c>
      <c r="AC38" s="2" t="b">
        <f t="shared" si="11"/>
        <v>1</v>
      </c>
      <c r="AD38" s="2" t="b">
        <f t="shared" si="12"/>
        <v>1</v>
      </c>
      <c r="AE38" s="2" t="b">
        <f t="shared" si="13"/>
        <v>1</v>
      </c>
      <c r="AF38" s="2" t="b">
        <f t="shared" si="14"/>
        <v>1</v>
      </c>
      <c r="AG38" s="2" t="b">
        <f t="shared" si="15"/>
        <v>1</v>
      </c>
      <c r="AI38" s="2" t="s">
        <v>51</v>
      </c>
      <c r="AJ38" s="2" t="s">
        <v>52</v>
      </c>
      <c r="AK38" s="2" t="s">
        <v>286</v>
      </c>
      <c r="AL38" s="2" t="s">
        <v>54</v>
      </c>
      <c r="AM38" s="2" t="s">
        <v>287</v>
      </c>
      <c r="AN38" s="2" t="s">
        <v>291</v>
      </c>
      <c r="AO38" s="2" t="s">
        <v>292</v>
      </c>
      <c r="AP38" s="2" t="s">
        <v>292</v>
      </c>
      <c r="AQ38" s="2" t="s">
        <v>233</v>
      </c>
      <c r="AR38" s="2" t="s">
        <v>92</v>
      </c>
      <c r="AS38" s="2" t="s">
        <v>268</v>
      </c>
      <c r="AT38" s="2" t="s">
        <v>76</v>
      </c>
      <c r="AU38" s="2" t="s">
        <v>269</v>
      </c>
      <c r="AV38" s="2" t="s">
        <v>63</v>
      </c>
      <c r="AW38" s="2" t="s">
        <v>290</v>
      </c>
      <c r="AX38" s="2" t="s">
        <v>130</v>
      </c>
    </row>
    <row r="39" spans="1:50" x14ac:dyDescent="0.25">
      <c r="A39" s="2" t="s">
        <v>51</v>
      </c>
      <c r="B39" s="2" t="s">
        <v>52</v>
      </c>
      <c r="C39" s="2" t="s">
        <v>293</v>
      </c>
      <c r="D39" s="2" t="s">
        <v>54</v>
      </c>
      <c r="E39" s="2" t="s">
        <v>294</v>
      </c>
      <c r="F39" s="2" t="s">
        <v>160</v>
      </c>
      <c r="G39" s="2" t="s">
        <v>295</v>
      </c>
      <c r="H39" s="2" t="s">
        <v>295</v>
      </c>
      <c r="I39" s="2" t="s">
        <v>161</v>
      </c>
      <c r="J39" s="2" t="s">
        <v>74</v>
      </c>
      <c r="K39" s="2" t="s">
        <v>296</v>
      </c>
      <c r="L39" s="2" t="s">
        <v>76</v>
      </c>
      <c r="M39" s="2" t="s">
        <v>212</v>
      </c>
      <c r="N39" s="2" t="s">
        <v>63</v>
      </c>
      <c r="O39" s="2" t="s">
        <v>163</v>
      </c>
      <c r="P39" s="2" t="s">
        <v>164</v>
      </c>
      <c r="R39" s="2" t="b">
        <f t="shared" si="0"/>
        <v>1</v>
      </c>
      <c r="S39" s="2" t="b">
        <f t="shared" si="1"/>
        <v>1</v>
      </c>
      <c r="T39" s="2" t="b">
        <f t="shared" si="2"/>
        <v>1</v>
      </c>
      <c r="U39" s="2" t="b">
        <f t="shared" si="3"/>
        <v>1</v>
      </c>
      <c r="V39" s="2" t="b">
        <f t="shared" si="4"/>
        <v>1</v>
      </c>
      <c r="W39" s="2" t="b">
        <f t="shared" si="5"/>
        <v>1</v>
      </c>
      <c r="X39" s="2" t="b">
        <f t="shared" si="6"/>
        <v>1</v>
      </c>
      <c r="Y39" s="2" t="b">
        <f t="shared" si="7"/>
        <v>1</v>
      </c>
      <c r="Z39" s="2" t="b">
        <f t="shared" si="8"/>
        <v>1</v>
      </c>
      <c r="AA39" s="2" t="b">
        <f t="shared" si="9"/>
        <v>1</v>
      </c>
      <c r="AB39" s="2" t="b">
        <f t="shared" si="10"/>
        <v>1</v>
      </c>
      <c r="AC39" s="2" t="b">
        <f t="shared" si="11"/>
        <v>1</v>
      </c>
      <c r="AD39" s="2" t="b">
        <f t="shared" si="12"/>
        <v>1</v>
      </c>
      <c r="AE39" s="2" t="b">
        <f t="shared" si="13"/>
        <v>1</v>
      </c>
      <c r="AF39" s="2" t="b">
        <f t="shared" si="14"/>
        <v>1</v>
      </c>
      <c r="AG39" s="2" t="b">
        <f t="shared" si="15"/>
        <v>1</v>
      </c>
      <c r="AI39" s="2" t="s">
        <v>51</v>
      </c>
      <c r="AJ39" s="2" t="s">
        <v>52</v>
      </c>
      <c r="AK39" s="2" t="s">
        <v>293</v>
      </c>
      <c r="AL39" s="2" t="s">
        <v>54</v>
      </c>
      <c r="AM39" s="2" t="s">
        <v>294</v>
      </c>
      <c r="AN39" s="2" t="s">
        <v>165</v>
      </c>
      <c r="AO39" s="2" t="s">
        <v>297</v>
      </c>
      <c r="AP39" s="2" t="s">
        <v>297</v>
      </c>
      <c r="AQ39" s="2" t="s">
        <v>161</v>
      </c>
      <c r="AR39" s="2" t="s">
        <v>74</v>
      </c>
      <c r="AS39" s="2" t="s">
        <v>296</v>
      </c>
      <c r="AT39" s="2" t="s">
        <v>76</v>
      </c>
      <c r="AU39" s="2" t="s">
        <v>212</v>
      </c>
      <c r="AV39" s="2" t="s">
        <v>63</v>
      </c>
      <c r="AW39" s="2" t="s">
        <v>163</v>
      </c>
      <c r="AX39" s="2" t="s">
        <v>164</v>
      </c>
    </row>
    <row r="40" spans="1:50" x14ac:dyDescent="0.25">
      <c r="A40" s="2" t="s">
        <v>83</v>
      </c>
      <c r="B40" s="2" t="s">
        <v>84</v>
      </c>
      <c r="C40" s="2" t="s">
        <v>298</v>
      </c>
      <c r="D40" s="2" t="s">
        <v>54</v>
      </c>
      <c r="E40" s="2" t="s">
        <v>299</v>
      </c>
      <c r="F40" s="2" t="s">
        <v>58</v>
      </c>
      <c r="G40" s="2" t="s">
        <v>300</v>
      </c>
      <c r="H40" s="2" t="s">
        <v>301</v>
      </c>
      <c r="I40" s="2" t="s">
        <v>302</v>
      </c>
      <c r="J40" s="2" t="s">
        <v>303</v>
      </c>
      <c r="K40" s="2" t="s">
        <v>304</v>
      </c>
      <c r="L40" s="2" t="s">
        <v>76</v>
      </c>
      <c r="M40" s="2" t="s">
        <v>172</v>
      </c>
      <c r="N40" s="2" t="s">
        <v>94</v>
      </c>
      <c r="O40" s="2" t="s">
        <v>305</v>
      </c>
      <c r="P40" s="2" t="s">
        <v>271</v>
      </c>
      <c r="R40" s="2" t="b">
        <f t="shared" si="0"/>
        <v>1</v>
      </c>
      <c r="S40" s="2" t="b">
        <f t="shared" si="1"/>
        <v>1</v>
      </c>
      <c r="T40" s="2" t="b">
        <f t="shared" si="2"/>
        <v>1</v>
      </c>
      <c r="U40" s="2" t="b">
        <f t="shared" si="3"/>
        <v>1</v>
      </c>
      <c r="V40" s="2" t="b">
        <f t="shared" si="4"/>
        <v>1</v>
      </c>
      <c r="W40" s="2" t="b">
        <f t="shared" si="5"/>
        <v>1</v>
      </c>
      <c r="X40" s="2" t="b">
        <f t="shared" si="6"/>
        <v>1</v>
      </c>
      <c r="Y40" s="2" t="b">
        <f t="shared" si="7"/>
        <v>1</v>
      </c>
      <c r="Z40" s="2" t="b">
        <f t="shared" si="8"/>
        <v>1</v>
      </c>
      <c r="AA40" s="2" t="b">
        <f t="shared" si="9"/>
        <v>1</v>
      </c>
      <c r="AB40" s="2" t="b">
        <f t="shared" si="10"/>
        <v>1</v>
      </c>
      <c r="AC40" s="2" t="b">
        <f t="shared" si="11"/>
        <v>1</v>
      </c>
      <c r="AD40" s="2" t="b">
        <f t="shared" si="12"/>
        <v>1</v>
      </c>
      <c r="AE40" s="2" t="b">
        <f t="shared" si="13"/>
        <v>1</v>
      </c>
      <c r="AF40" s="2" t="b">
        <f t="shared" si="14"/>
        <v>1</v>
      </c>
      <c r="AG40" s="2" t="b">
        <f t="shared" si="15"/>
        <v>1</v>
      </c>
      <c r="AI40" s="2" t="s">
        <v>83</v>
      </c>
      <c r="AJ40" s="2" t="s">
        <v>84</v>
      </c>
      <c r="AK40" s="2" t="s">
        <v>298</v>
      </c>
      <c r="AL40" s="2" t="s">
        <v>54</v>
      </c>
      <c r="AM40" s="2" t="s">
        <v>299</v>
      </c>
      <c r="AN40" s="2" t="s">
        <v>68</v>
      </c>
      <c r="AO40" s="2" t="s">
        <v>306</v>
      </c>
      <c r="AP40" s="2" t="s">
        <v>307</v>
      </c>
      <c r="AQ40" s="2" t="s">
        <v>302</v>
      </c>
      <c r="AR40" s="2" t="s">
        <v>303</v>
      </c>
      <c r="AS40" s="2" t="s">
        <v>304</v>
      </c>
      <c r="AT40" s="2" t="s">
        <v>76</v>
      </c>
      <c r="AU40" s="2" t="s">
        <v>172</v>
      </c>
      <c r="AV40" s="2" t="s">
        <v>94</v>
      </c>
      <c r="AW40" s="2" t="s">
        <v>305</v>
      </c>
      <c r="AX40" s="2" t="s">
        <v>271</v>
      </c>
    </row>
    <row r="41" spans="1:50" x14ac:dyDescent="0.25">
      <c r="A41" s="2" t="s">
        <v>51</v>
      </c>
      <c r="B41" s="2" t="s">
        <v>52</v>
      </c>
      <c r="C41" s="2" t="s">
        <v>308</v>
      </c>
      <c r="D41" s="2" t="s">
        <v>54</v>
      </c>
      <c r="E41" s="2" t="s">
        <v>309</v>
      </c>
      <c r="F41" s="2" t="s">
        <v>258</v>
      </c>
      <c r="G41" s="2" t="s">
        <v>310</v>
      </c>
      <c r="H41" s="2" t="s">
        <v>310</v>
      </c>
      <c r="I41" s="2" t="s">
        <v>302</v>
      </c>
      <c r="J41" s="2" t="s">
        <v>74</v>
      </c>
      <c r="K41" s="2" t="s">
        <v>304</v>
      </c>
      <c r="L41" s="2" t="s">
        <v>76</v>
      </c>
      <c r="M41" s="2" t="s">
        <v>172</v>
      </c>
      <c r="N41" s="2" t="s">
        <v>94</v>
      </c>
      <c r="O41" s="2" t="s">
        <v>311</v>
      </c>
      <c r="P41" s="2" t="s">
        <v>65</v>
      </c>
      <c r="R41" s="2" t="b">
        <f t="shared" si="0"/>
        <v>1</v>
      </c>
      <c r="S41" s="2" t="b">
        <f t="shared" si="1"/>
        <v>1</v>
      </c>
      <c r="T41" s="2" t="b">
        <f t="shared" si="2"/>
        <v>1</v>
      </c>
      <c r="U41" s="2" t="b">
        <f t="shared" si="3"/>
        <v>1</v>
      </c>
      <c r="V41" s="2" t="b">
        <f t="shared" si="4"/>
        <v>1</v>
      </c>
      <c r="W41" s="2" t="b">
        <f t="shared" si="5"/>
        <v>1</v>
      </c>
      <c r="X41" s="2" t="b">
        <f t="shared" si="6"/>
        <v>1</v>
      </c>
      <c r="Y41" s="2" t="b">
        <f t="shared" si="7"/>
        <v>1</v>
      </c>
      <c r="Z41" s="2" t="b">
        <f t="shared" si="8"/>
        <v>1</v>
      </c>
      <c r="AA41" s="2" t="b">
        <f t="shared" si="9"/>
        <v>1</v>
      </c>
      <c r="AB41" s="2" t="b">
        <f t="shared" si="10"/>
        <v>1</v>
      </c>
      <c r="AC41" s="2" t="b">
        <f t="shared" si="11"/>
        <v>1</v>
      </c>
      <c r="AD41" s="2" t="b">
        <f t="shared" si="12"/>
        <v>1</v>
      </c>
      <c r="AE41" s="2" t="b">
        <f t="shared" si="13"/>
        <v>1</v>
      </c>
      <c r="AF41" s="2" t="b">
        <f t="shared" si="14"/>
        <v>1</v>
      </c>
      <c r="AG41" s="2" t="b">
        <f t="shared" si="15"/>
        <v>1</v>
      </c>
      <c r="AI41" s="2" t="s">
        <v>51</v>
      </c>
      <c r="AJ41" s="2" t="s">
        <v>52</v>
      </c>
      <c r="AK41" s="2" t="s">
        <v>308</v>
      </c>
      <c r="AL41" s="2" t="s">
        <v>54</v>
      </c>
      <c r="AM41" s="2" t="s">
        <v>309</v>
      </c>
      <c r="AN41" s="2" t="s">
        <v>262</v>
      </c>
      <c r="AO41" s="2" t="s">
        <v>312</v>
      </c>
      <c r="AP41" s="2" t="s">
        <v>312</v>
      </c>
      <c r="AQ41" s="2" t="s">
        <v>302</v>
      </c>
      <c r="AR41" s="2" t="s">
        <v>74</v>
      </c>
      <c r="AS41" s="2" t="s">
        <v>304</v>
      </c>
      <c r="AT41" s="2" t="s">
        <v>76</v>
      </c>
      <c r="AU41" s="2" t="s">
        <v>172</v>
      </c>
      <c r="AV41" s="2" t="s">
        <v>94</v>
      </c>
      <c r="AW41" s="2" t="s">
        <v>311</v>
      </c>
      <c r="AX41" s="2" t="s">
        <v>65</v>
      </c>
    </row>
    <row r="42" spans="1:50" x14ac:dyDescent="0.25">
      <c r="A42" s="2" t="s">
        <v>83</v>
      </c>
      <c r="B42" s="2" t="s">
        <v>84</v>
      </c>
      <c r="C42" s="2" t="s">
        <v>313</v>
      </c>
      <c r="D42" s="2" t="s">
        <v>54</v>
      </c>
      <c r="E42" s="2" t="s">
        <v>314</v>
      </c>
      <c r="F42" s="2" t="s">
        <v>315</v>
      </c>
      <c r="G42" s="2" t="s">
        <v>316</v>
      </c>
      <c r="H42" s="2" t="s">
        <v>317</v>
      </c>
      <c r="I42" s="2" t="s">
        <v>73</v>
      </c>
      <c r="J42" s="2" t="s">
        <v>74</v>
      </c>
      <c r="K42" s="2" t="s">
        <v>318</v>
      </c>
      <c r="L42" s="2" t="s">
        <v>76</v>
      </c>
      <c r="M42" s="2" t="s">
        <v>319</v>
      </c>
      <c r="N42" s="2" t="s">
        <v>78</v>
      </c>
      <c r="O42" s="2" t="s">
        <v>320</v>
      </c>
      <c r="P42" s="2" t="s">
        <v>181</v>
      </c>
      <c r="R42" s="2" t="b">
        <f t="shared" si="0"/>
        <v>1</v>
      </c>
      <c r="S42" s="2" t="b">
        <f t="shared" si="1"/>
        <v>1</v>
      </c>
      <c r="T42" s="2" t="b">
        <f t="shared" si="2"/>
        <v>1</v>
      </c>
      <c r="U42" s="2" t="b">
        <f t="shared" si="3"/>
        <v>1</v>
      </c>
      <c r="V42" s="2" t="b">
        <f t="shared" si="4"/>
        <v>1</v>
      </c>
      <c r="W42" s="2" t="b">
        <f t="shared" si="5"/>
        <v>1</v>
      </c>
      <c r="X42" s="2" t="b">
        <f t="shared" si="6"/>
        <v>1</v>
      </c>
      <c r="Y42" s="2" t="b">
        <f t="shared" si="7"/>
        <v>1</v>
      </c>
      <c r="Z42" s="2" t="b">
        <f t="shared" si="8"/>
        <v>1</v>
      </c>
      <c r="AA42" s="2" t="b">
        <f t="shared" si="9"/>
        <v>1</v>
      </c>
      <c r="AB42" s="2" t="b">
        <f t="shared" si="10"/>
        <v>1</v>
      </c>
      <c r="AC42" s="2" t="b">
        <f t="shared" si="11"/>
        <v>1</v>
      </c>
      <c r="AD42" s="2" t="b">
        <f t="shared" si="12"/>
        <v>1</v>
      </c>
      <c r="AE42" s="2" t="b">
        <f t="shared" si="13"/>
        <v>1</v>
      </c>
      <c r="AF42" s="2" t="b">
        <f t="shared" si="14"/>
        <v>1</v>
      </c>
      <c r="AG42" s="2" t="b">
        <f t="shared" si="15"/>
        <v>1</v>
      </c>
      <c r="AI42" s="2" t="s">
        <v>83</v>
      </c>
      <c r="AJ42" s="2" t="s">
        <v>84</v>
      </c>
      <c r="AK42" s="2" t="s">
        <v>313</v>
      </c>
      <c r="AL42" s="2" t="s">
        <v>54</v>
      </c>
      <c r="AM42" s="2" t="s">
        <v>314</v>
      </c>
      <c r="AN42" s="2" t="s">
        <v>321</v>
      </c>
      <c r="AO42" s="2" t="s">
        <v>322</v>
      </c>
      <c r="AP42" s="2" t="s">
        <v>323</v>
      </c>
      <c r="AQ42" s="2" t="s">
        <v>73</v>
      </c>
      <c r="AR42" s="2" t="s">
        <v>74</v>
      </c>
      <c r="AS42" s="2" t="s">
        <v>318</v>
      </c>
      <c r="AT42" s="2" t="s">
        <v>76</v>
      </c>
      <c r="AU42" s="2" t="s">
        <v>319</v>
      </c>
      <c r="AV42" s="2" t="s">
        <v>78</v>
      </c>
      <c r="AW42" s="2" t="s">
        <v>320</v>
      </c>
      <c r="AX42" s="2" t="s">
        <v>181</v>
      </c>
    </row>
    <row r="43" spans="1:50" x14ac:dyDescent="0.25">
      <c r="A43" s="2" t="s">
        <v>83</v>
      </c>
      <c r="B43" s="2" t="s">
        <v>84</v>
      </c>
      <c r="C43" s="2" t="s">
        <v>324</v>
      </c>
      <c r="D43" s="2" t="s">
        <v>54</v>
      </c>
      <c r="E43" s="2" t="s">
        <v>325</v>
      </c>
      <c r="F43" s="2" t="s">
        <v>57</v>
      </c>
      <c r="G43" s="2" t="s">
        <v>326</v>
      </c>
      <c r="H43" s="2" t="s">
        <v>327</v>
      </c>
      <c r="I43" s="2" t="s">
        <v>302</v>
      </c>
      <c r="J43" s="2" t="s">
        <v>74</v>
      </c>
      <c r="K43" s="2" t="s">
        <v>328</v>
      </c>
      <c r="L43" s="2" t="s">
        <v>76</v>
      </c>
      <c r="M43" s="2" t="s">
        <v>329</v>
      </c>
      <c r="N43" s="2" t="s">
        <v>94</v>
      </c>
      <c r="O43" s="2" t="s">
        <v>330</v>
      </c>
      <c r="P43" s="2" t="s">
        <v>181</v>
      </c>
      <c r="R43" s="2" t="b">
        <f t="shared" si="0"/>
        <v>1</v>
      </c>
      <c r="S43" s="2" t="b">
        <f t="shared" si="1"/>
        <v>1</v>
      </c>
      <c r="T43" s="2" t="b">
        <f t="shared" si="2"/>
        <v>1</v>
      </c>
      <c r="U43" s="2" t="b">
        <f t="shared" si="3"/>
        <v>1</v>
      </c>
      <c r="V43" s="2" t="b">
        <f t="shared" si="4"/>
        <v>1</v>
      </c>
      <c r="W43" s="2" t="b">
        <f t="shared" si="5"/>
        <v>1</v>
      </c>
      <c r="X43" s="2" t="b">
        <f t="shared" si="6"/>
        <v>1</v>
      </c>
      <c r="Y43" s="2" t="b">
        <f t="shared" si="7"/>
        <v>1</v>
      </c>
      <c r="Z43" s="2" t="b">
        <f t="shared" si="8"/>
        <v>1</v>
      </c>
      <c r="AA43" s="2" t="b">
        <f t="shared" si="9"/>
        <v>1</v>
      </c>
      <c r="AB43" s="2" t="b">
        <f t="shared" si="10"/>
        <v>1</v>
      </c>
      <c r="AC43" s="2" t="b">
        <f t="shared" si="11"/>
        <v>1</v>
      </c>
      <c r="AD43" s="2" t="b">
        <f t="shared" si="12"/>
        <v>1</v>
      </c>
      <c r="AE43" s="2" t="b">
        <f t="shared" si="13"/>
        <v>1</v>
      </c>
      <c r="AF43" s="2" t="b">
        <f t="shared" si="14"/>
        <v>1</v>
      </c>
      <c r="AG43" s="2" t="b">
        <f t="shared" si="15"/>
        <v>1</v>
      </c>
      <c r="AI43" s="2" t="s">
        <v>83</v>
      </c>
      <c r="AJ43" s="2" t="s">
        <v>84</v>
      </c>
      <c r="AK43" s="2" t="s">
        <v>324</v>
      </c>
      <c r="AL43" s="2" t="s">
        <v>54</v>
      </c>
      <c r="AM43" s="2" t="s">
        <v>325</v>
      </c>
      <c r="AN43" s="2" t="s">
        <v>67</v>
      </c>
      <c r="AO43" s="2" t="s">
        <v>331</v>
      </c>
      <c r="AP43" s="2" t="s">
        <v>332</v>
      </c>
      <c r="AQ43" s="2" t="s">
        <v>302</v>
      </c>
      <c r="AR43" s="2" t="s">
        <v>74</v>
      </c>
      <c r="AS43" s="2" t="s">
        <v>328</v>
      </c>
      <c r="AT43" s="2" t="s">
        <v>76</v>
      </c>
      <c r="AU43" s="2" t="s">
        <v>329</v>
      </c>
      <c r="AV43" s="2" t="s">
        <v>94</v>
      </c>
      <c r="AW43" s="2" t="s">
        <v>330</v>
      </c>
      <c r="AX43" s="2" t="s">
        <v>181</v>
      </c>
    </row>
    <row r="44" spans="1:50" x14ac:dyDescent="0.25">
      <c r="A44" s="2" t="s">
        <v>51</v>
      </c>
      <c r="B44" s="2" t="s">
        <v>52</v>
      </c>
      <c r="C44" s="2" t="s">
        <v>333</v>
      </c>
      <c r="D44" s="2" t="s">
        <v>54</v>
      </c>
      <c r="E44" s="2" t="s">
        <v>334</v>
      </c>
      <c r="F44" s="2" t="s">
        <v>335</v>
      </c>
      <c r="G44" s="2" t="s">
        <v>327</v>
      </c>
      <c r="H44" s="2" t="s">
        <v>327</v>
      </c>
      <c r="I44" s="2" t="s">
        <v>233</v>
      </c>
      <c r="J44" s="2" t="s">
        <v>92</v>
      </c>
      <c r="K44" s="2" t="s">
        <v>336</v>
      </c>
      <c r="L44" s="2" t="s">
        <v>76</v>
      </c>
      <c r="M44" s="2" t="s">
        <v>111</v>
      </c>
      <c r="N44" s="2" t="s">
        <v>63</v>
      </c>
      <c r="O44" s="2" t="s">
        <v>290</v>
      </c>
      <c r="P44" s="2" t="s">
        <v>130</v>
      </c>
      <c r="R44" s="2" t="b">
        <f t="shared" si="0"/>
        <v>1</v>
      </c>
      <c r="S44" s="2" t="b">
        <f t="shared" si="1"/>
        <v>1</v>
      </c>
      <c r="T44" s="2" t="b">
        <f t="shared" si="2"/>
        <v>1</v>
      </c>
      <c r="U44" s="2" t="b">
        <f t="shared" si="3"/>
        <v>1</v>
      </c>
      <c r="V44" s="2" t="b">
        <f t="shared" si="4"/>
        <v>1</v>
      </c>
      <c r="W44" s="2" t="b">
        <f t="shared" si="5"/>
        <v>1</v>
      </c>
      <c r="X44" s="2" t="b">
        <f t="shared" si="6"/>
        <v>1</v>
      </c>
      <c r="Y44" s="2" t="b">
        <f t="shared" si="7"/>
        <v>1</v>
      </c>
      <c r="Z44" s="2" t="b">
        <f t="shared" si="8"/>
        <v>1</v>
      </c>
      <c r="AA44" s="2" t="b">
        <f t="shared" si="9"/>
        <v>1</v>
      </c>
      <c r="AB44" s="2" t="b">
        <f t="shared" si="10"/>
        <v>1</v>
      </c>
      <c r="AC44" s="2" t="b">
        <f t="shared" si="11"/>
        <v>1</v>
      </c>
      <c r="AD44" s="2" t="b">
        <f t="shared" si="12"/>
        <v>1</v>
      </c>
      <c r="AE44" s="2" t="b">
        <f t="shared" si="13"/>
        <v>1</v>
      </c>
      <c r="AF44" s="2" t="b">
        <f t="shared" si="14"/>
        <v>1</v>
      </c>
      <c r="AG44" s="2" t="b">
        <f t="shared" si="15"/>
        <v>1</v>
      </c>
      <c r="AI44" s="2" t="s">
        <v>51</v>
      </c>
      <c r="AJ44" s="2" t="s">
        <v>52</v>
      </c>
      <c r="AK44" s="2" t="s">
        <v>333</v>
      </c>
      <c r="AL44" s="2" t="s">
        <v>54</v>
      </c>
      <c r="AM44" s="2" t="s">
        <v>334</v>
      </c>
      <c r="AN44" s="2" t="s">
        <v>337</v>
      </c>
      <c r="AO44" s="2" t="s">
        <v>332</v>
      </c>
      <c r="AP44" s="2" t="s">
        <v>332</v>
      </c>
      <c r="AQ44" s="2" t="s">
        <v>233</v>
      </c>
      <c r="AR44" s="2" t="s">
        <v>92</v>
      </c>
      <c r="AS44" s="2" t="s">
        <v>336</v>
      </c>
      <c r="AT44" s="2" t="s">
        <v>76</v>
      </c>
      <c r="AU44" s="2" t="s">
        <v>111</v>
      </c>
      <c r="AV44" s="2" t="s">
        <v>63</v>
      </c>
      <c r="AW44" s="2" t="s">
        <v>290</v>
      </c>
      <c r="AX44" s="2" t="s">
        <v>130</v>
      </c>
    </row>
    <row r="45" spans="1:50" x14ac:dyDescent="0.25">
      <c r="A45" s="2" t="s">
        <v>51</v>
      </c>
      <c r="B45" s="2" t="s">
        <v>52</v>
      </c>
      <c r="C45" s="2" t="s">
        <v>338</v>
      </c>
      <c r="D45" s="2" t="s">
        <v>54</v>
      </c>
      <c r="E45" s="2" t="s">
        <v>339</v>
      </c>
      <c r="F45" s="2" t="s">
        <v>335</v>
      </c>
      <c r="G45" s="2" t="s">
        <v>340</v>
      </c>
      <c r="H45" s="2" t="s">
        <v>340</v>
      </c>
      <c r="I45" s="2" t="s">
        <v>233</v>
      </c>
      <c r="J45" s="2" t="s">
        <v>74</v>
      </c>
      <c r="K45" s="2" t="s">
        <v>268</v>
      </c>
      <c r="L45" s="2" t="s">
        <v>76</v>
      </c>
      <c r="M45" s="2" t="s">
        <v>269</v>
      </c>
      <c r="N45" s="2" t="s">
        <v>63</v>
      </c>
      <c r="O45" s="2" t="s">
        <v>290</v>
      </c>
      <c r="P45" s="2" t="s">
        <v>130</v>
      </c>
      <c r="R45" s="2" t="b">
        <f t="shared" si="0"/>
        <v>1</v>
      </c>
      <c r="S45" s="2" t="b">
        <f t="shared" si="1"/>
        <v>1</v>
      </c>
      <c r="T45" s="2" t="b">
        <f t="shared" si="2"/>
        <v>1</v>
      </c>
      <c r="U45" s="2" t="b">
        <f t="shared" si="3"/>
        <v>1</v>
      </c>
      <c r="V45" s="2" t="b">
        <f t="shared" si="4"/>
        <v>1</v>
      </c>
      <c r="W45" s="2" t="b">
        <f t="shared" si="5"/>
        <v>1</v>
      </c>
      <c r="X45" s="2" t="b">
        <f t="shared" si="6"/>
        <v>1</v>
      </c>
      <c r="Y45" s="2" t="b">
        <f t="shared" si="7"/>
        <v>1</v>
      </c>
      <c r="Z45" s="2" t="b">
        <f t="shared" si="8"/>
        <v>1</v>
      </c>
      <c r="AA45" s="2" t="b">
        <f t="shared" si="9"/>
        <v>1</v>
      </c>
      <c r="AB45" s="2" t="b">
        <f t="shared" si="10"/>
        <v>1</v>
      </c>
      <c r="AC45" s="2" t="b">
        <f t="shared" si="11"/>
        <v>1</v>
      </c>
      <c r="AD45" s="2" t="b">
        <f t="shared" si="12"/>
        <v>1</v>
      </c>
      <c r="AE45" s="2" t="b">
        <f t="shared" si="13"/>
        <v>1</v>
      </c>
      <c r="AF45" s="2" t="b">
        <f t="shared" si="14"/>
        <v>1</v>
      </c>
      <c r="AG45" s="2" t="b">
        <f t="shared" si="15"/>
        <v>1</v>
      </c>
      <c r="AI45" s="2" t="s">
        <v>51</v>
      </c>
      <c r="AJ45" s="2" t="s">
        <v>52</v>
      </c>
      <c r="AK45" s="2" t="s">
        <v>338</v>
      </c>
      <c r="AL45" s="2" t="s">
        <v>54</v>
      </c>
      <c r="AM45" s="2" t="s">
        <v>339</v>
      </c>
      <c r="AN45" s="2" t="s">
        <v>337</v>
      </c>
      <c r="AO45" s="2" t="s">
        <v>341</v>
      </c>
      <c r="AP45" s="2" t="s">
        <v>341</v>
      </c>
      <c r="AQ45" s="2" t="s">
        <v>233</v>
      </c>
      <c r="AR45" s="2" t="s">
        <v>74</v>
      </c>
      <c r="AS45" s="2" t="s">
        <v>268</v>
      </c>
      <c r="AT45" s="2" t="s">
        <v>76</v>
      </c>
      <c r="AU45" s="2" t="s">
        <v>269</v>
      </c>
      <c r="AV45" s="2" t="s">
        <v>63</v>
      </c>
      <c r="AW45" s="2" t="s">
        <v>290</v>
      </c>
      <c r="AX45" s="2" t="s">
        <v>130</v>
      </c>
    </row>
    <row r="46" spans="1:50" x14ac:dyDescent="0.25">
      <c r="A46" s="2" t="s">
        <v>51</v>
      </c>
      <c r="B46" s="2" t="s">
        <v>52</v>
      </c>
      <c r="C46" s="2" t="s">
        <v>342</v>
      </c>
      <c r="D46" s="2" t="s">
        <v>54</v>
      </c>
      <c r="E46" s="2" t="s">
        <v>343</v>
      </c>
      <c r="F46" s="2" t="s">
        <v>344</v>
      </c>
      <c r="G46" s="2" t="s">
        <v>345</v>
      </c>
      <c r="H46" s="2" t="s">
        <v>345</v>
      </c>
      <c r="I46" s="2" t="s">
        <v>233</v>
      </c>
      <c r="J46" s="2" t="s">
        <v>74</v>
      </c>
      <c r="K46" s="2" t="s">
        <v>268</v>
      </c>
      <c r="L46" s="2" t="s">
        <v>76</v>
      </c>
      <c r="M46" s="2" t="s">
        <v>269</v>
      </c>
      <c r="N46" s="2" t="s">
        <v>63</v>
      </c>
      <c r="O46" s="2" t="s">
        <v>290</v>
      </c>
      <c r="P46" s="2" t="s">
        <v>130</v>
      </c>
      <c r="R46" s="2" t="b">
        <f t="shared" si="0"/>
        <v>1</v>
      </c>
      <c r="S46" s="2" t="b">
        <f t="shared" si="1"/>
        <v>1</v>
      </c>
      <c r="T46" s="2" t="b">
        <f t="shared" si="2"/>
        <v>1</v>
      </c>
      <c r="U46" s="2" t="b">
        <f t="shared" si="3"/>
        <v>1</v>
      </c>
      <c r="V46" s="2" t="b">
        <f t="shared" si="4"/>
        <v>1</v>
      </c>
      <c r="W46" s="2" t="b">
        <f t="shared" si="5"/>
        <v>1</v>
      </c>
      <c r="X46" s="2" t="b">
        <f t="shared" si="6"/>
        <v>1</v>
      </c>
      <c r="Y46" s="2" t="b">
        <f t="shared" si="7"/>
        <v>1</v>
      </c>
      <c r="Z46" s="2" t="b">
        <f t="shared" si="8"/>
        <v>1</v>
      </c>
      <c r="AA46" s="2" t="b">
        <f t="shared" si="9"/>
        <v>1</v>
      </c>
      <c r="AB46" s="2" t="b">
        <f t="shared" si="10"/>
        <v>1</v>
      </c>
      <c r="AC46" s="2" t="b">
        <f t="shared" si="11"/>
        <v>1</v>
      </c>
      <c r="AD46" s="2" t="b">
        <f t="shared" si="12"/>
        <v>1</v>
      </c>
      <c r="AE46" s="2" t="b">
        <f t="shared" si="13"/>
        <v>1</v>
      </c>
      <c r="AF46" s="2" t="b">
        <f t="shared" si="14"/>
        <v>1</v>
      </c>
      <c r="AG46" s="2" t="b">
        <f t="shared" si="15"/>
        <v>1</v>
      </c>
      <c r="AI46" s="2" t="s">
        <v>51</v>
      </c>
      <c r="AJ46" s="2" t="s">
        <v>52</v>
      </c>
      <c r="AK46" s="2" t="s">
        <v>342</v>
      </c>
      <c r="AL46" s="2" t="s">
        <v>54</v>
      </c>
      <c r="AM46" s="2" t="s">
        <v>343</v>
      </c>
      <c r="AN46" s="2" t="s">
        <v>346</v>
      </c>
      <c r="AO46" s="2" t="s">
        <v>347</v>
      </c>
      <c r="AP46" s="2" t="s">
        <v>347</v>
      </c>
      <c r="AQ46" s="2" t="s">
        <v>233</v>
      </c>
      <c r="AR46" s="2" t="s">
        <v>74</v>
      </c>
      <c r="AS46" s="2" t="s">
        <v>268</v>
      </c>
      <c r="AT46" s="2" t="s">
        <v>76</v>
      </c>
      <c r="AU46" s="2" t="s">
        <v>269</v>
      </c>
      <c r="AV46" s="2" t="s">
        <v>63</v>
      </c>
      <c r="AW46" s="2" t="s">
        <v>290</v>
      </c>
      <c r="AX46" s="2" t="s">
        <v>130</v>
      </c>
    </row>
    <row r="47" spans="1:50" x14ac:dyDescent="0.25">
      <c r="A47" s="2" t="s">
        <v>51</v>
      </c>
      <c r="B47" s="2" t="s">
        <v>52</v>
      </c>
      <c r="C47" s="2" t="s">
        <v>348</v>
      </c>
      <c r="D47" s="2" t="s">
        <v>54</v>
      </c>
      <c r="E47" s="2" t="s">
        <v>349</v>
      </c>
      <c r="F47" s="2" t="s">
        <v>344</v>
      </c>
      <c r="G47" s="2" t="s">
        <v>350</v>
      </c>
      <c r="H47" s="2" t="s">
        <v>350</v>
      </c>
      <c r="I47" s="2" t="s">
        <v>233</v>
      </c>
      <c r="J47" s="2" t="s">
        <v>74</v>
      </c>
      <c r="K47" s="2" t="s">
        <v>336</v>
      </c>
      <c r="L47" s="2" t="s">
        <v>76</v>
      </c>
      <c r="M47" s="2" t="s">
        <v>111</v>
      </c>
      <c r="N47" s="2" t="s">
        <v>63</v>
      </c>
      <c r="O47" s="2" t="s">
        <v>290</v>
      </c>
      <c r="P47" s="2" t="s">
        <v>130</v>
      </c>
      <c r="R47" s="2" t="b">
        <f t="shared" si="0"/>
        <v>1</v>
      </c>
      <c r="S47" s="2" t="b">
        <f t="shared" si="1"/>
        <v>1</v>
      </c>
      <c r="T47" s="2" t="b">
        <f t="shared" si="2"/>
        <v>1</v>
      </c>
      <c r="U47" s="2" t="b">
        <f t="shared" si="3"/>
        <v>1</v>
      </c>
      <c r="V47" s="2" t="b">
        <f t="shared" si="4"/>
        <v>1</v>
      </c>
      <c r="W47" s="2" t="b">
        <f t="shared" si="5"/>
        <v>1</v>
      </c>
      <c r="X47" s="2" t="b">
        <f t="shared" si="6"/>
        <v>1</v>
      </c>
      <c r="Y47" s="2" t="b">
        <f t="shared" si="7"/>
        <v>1</v>
      </c>
      <c r="Z47" s="2" t="b">
        <f t="shared" si="8"/>
        <v>1</v>
      </c>
      <c r="AA47" s="2" t="b">
        <f t="shared" si="9"/>
        <v>1</v>
      </c>
      <c r="AB47" s="2" t="b">
        <f t="shared" si="10"/>
        <v>1</v>
      </c>
      <c r="AC47" s="2" t="b">
        <f t="shared" si="11"/>
        <v>1</v>
      </c>
      <c r="AD47" s="2" t="b">
        <f t="shared" si="12"/>
        <v>1</v>
      </c>
      <c r="AE47" s="2" t="b">
        <f t="shared" si="13"/>
        <v>1</v>
      </c>
      <c r="AF47" s="2" t="b">
        <f t="shared" si="14"/>
        <v>1</v>
      </c>
      <c r="AG47" s="2" t="b">
        <f t="shared" si="15"/>
        <v>1</v>
      </c>
      <c r="AI47" s="2" t="s">
        <v>51</v>
      </c>
      <c r="AJ47" s="2" t="s">
        <v>52</v>
      </c>
      <c r="AK47" s="2" t="s">
        <v>348</v>
      </c>
      <c r="AL47" s="2" t="s">
        <v>54</v>
      </c>
      <c r="AM47" s="2" t="s">
        <v>349</v>
      </c>
      <c r="AN47" s="2" t="s">
        <v>346</v>
      </c>
      <c r="AO47" s="2" t="s">
        <v>351</v>
      </c>
      <c r="AP47" s="2" t="s">
        <v>351</v>
      </c>
      <c r="AQ47" s="2" t="s">
        <v>233</v>
      </c>
      <c r="AR47" s="2" t="s">
        <v>74</v>
      </c>
      <c r="AS47" s="2" t="s">
        <v>336</v>
      </c>
      <c r="AT47" s="2" t="s">
        <v>76</v>
      </c>
      <c r="AU47" s="2" t="s">
        <v>111</v>
      </c>
      <c r="AV47" s="2" t="s">
        <v>63</v>
      </c>
      <c r="AW47" s="2" t="s">
        <v>290</v>
      </c>
      <c r="AX47" s="2" t="s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showGridLines="0" tabSelected="1" workbookViewId="0">
      <selection activeCell="F17" sqref="F17"/>
    </sheetView>
  </sheetViews>
  <sheetFormatPr defaultRowHeight="15" x14ac:dyDescent="0.25"/>
  <cols>
    <col min="1" max="1" width="26" customWidth="1"/>
    <col min="2" max="2" width="39" customWidth="1"/>
    <col min="3" max="3" width="46" customWidth="1"/>
  </cols>
  <sheetData>
    <row r="1" spans="1:3" x14ac:dyDescent="0.25">
      <c r="A1" s="3" t="s">
        <v>0</v>
      </c>
      <c r="B1" s="3" t="s">
        <v>1</v>
      </c>
    </row>
    <row r="2" spans="1:3" x14ac:dyDescent="0.25">
      <c r="A2" s="2" t="s">
        <v>2</v>
      </c>
    </row>
    <row r="4" spans="1:3" x14ac:dyDescent="0.25">
      <c r="A4" s="3" t="s">
        <v>3</v>
      </c>
    </row>
    <row r="5" spans="1:3" x14ac:dyDescent="0.25">
      <c r="A5" s="2" t="s">
        <v>2</v>
      </c>
    </row>
    <row r="7" spans="1:3" x14ac:dyDescent="0.25">
      <c r="C7" s="2" t="s">
        <v>4</v>
      </c>
    </row>
    <row r="10" spans="1:3" x14ac:dyDescent="0.25">
      <c r="A10" s="3" t="s">
        <v>5</v>
      </c>
      <c r="B10" s="2" t="s">
        <v>6</v>
      </c>
      <c r="C10" s="2" t="s">
        <v>7</v>
      </c>
    </row>
    <row r="11" spans="1:3" x14ac:dyDescent="0.25">
      <c r="A11" s="3" t="s">
        <v>8</v>
      </c>
      <c r="B11" s="2" t="s">
        <v>9</v>
      </c>
      <c r="C11" s="2" t="s">
        <v>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0D69EFCC-A981-4CD1-8F48-A0D5F75F09A8}"/>
</file>

<file path=customXml/itemProps2.xml><?xml version="1.0" encoding="utf-8"?>
<ds:datastoreItem xmlns:ds="http://schemas.openxmlformats.org/officeDocument/2006/customXml" ds:itemID="{FA78CB3D-9F23-4EEF-9736-8108F3EE797F}"/>
</file>

<file path=customXml/itemProps3.xml><?xml version="1.0" encoding="utf-8"?>
<ds:datastoreItem xmlns:ds="http://schemas.openxmlformats.org/officeDocument/2006/customXml" ds:itemID="{D1E1569C-AEB1-4239-A18C-75260B6D73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Comparison</vt:lpstr>
      <vt:lpstr>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Zack Bishop</cp:lastModifiedBy>
  <dcterms:created xsi:type="dcterms:W3CDTF">2026-07-07T01:37:31Z</dcterms:created>
  <dcterms:modified xsi:type="dcterms:W3CDTF">2026-07-10T16:12:19Z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