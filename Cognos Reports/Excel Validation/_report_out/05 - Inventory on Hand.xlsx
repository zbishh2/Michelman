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F880E789-C1E4-4A32-B1F8-B3144A17A8E7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Notes" sheetId="1" r:id="rId1"/>
    <sheet name="Comparison" sheetId="2" r:id="rId2"/>
    <sheet name="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5" i="2" l="1"/>
  <c r="R55" i="2"/>
  <c r="Q55" i="2"/>
  <c r="P55" i="2"/>
  <c r="O55" i="2"/>
  <c r="N55" i="2"/>
  <c r="M55" i="2"/>
  <c r="L55" i="2"/>
  <c r="K55" i="2"/>
  <c r="S54" i="2"/>
  <c r="R54" i="2"/>
  <c r="Q54" i="2"/>
  <c r="P54" i="2"/>
  <c r="O54" i="2"/>
  <c r="N54" i="2"/>
  <c r="M54" i="2"/>
  <c r="L54" i="2"/>
  <c r="K54" i="2"/>
  <c r="S53" i="2"/>
  <c r="R53" i="2"/>
  <c r="Q53" i="2"/>
  <c r="P53" i="2"/>
  <c r="O53" i="2"/>
  <c r="N53" i="2"/>
  <c r="M53" i="2"/>
  <c r="L53" i="2"/>
  <c r="K53" i="2"/>
  <c r="S52" i="2"/>
  <c r="R52" i="2"/>
  <c r="Q52" i="2"/>
  <c r="P52" i="2"/>
  <c r="O52" i="2"/>
  <c r="N52" i="2"/>
  <c r="M52" i="2"/>
  <c r="L52" i="2"/>
  <c r="K52" i="2"/>
  <c r="S51" i="2"/>
  <c r="R51" i="2"/>
  <c r="Q51" i="2"/>
  <c r="P51" i="2"/>
  <c r="O51" i="2"/>
  <c r="N51" i="2"/>
  <c r="M51" i="2"/>
  <c r="L51" i="2"/>
  <c r="K51" i="2"/>
  <c r="S50" i="2"/>
  <c r="R50" i="2"/>
  <c r="Q50" i="2"/>
  <c r="P50" i="2"/>
  <c r="O50" i="2"/>
  <c r="N50" i="2"/>
  <c r="M50" i="2"/>
  <c r="L50" i="2"/>
  <c r="K50" i="2"/>
  <c r="S49" i="2"/>
  <c r="R49" i="2"/>
  <c r="Q49" i="2"/>
  <c r="P49" i="2"/>
  <c r="O49" i="2"/>
  <c r="N49" i="2"/>
  <c r="M49" i="2"/>
  <c r="L49" i="2"/>
  <c r="K49" i="2"/>
  <c r="S48" i="2"/>
  <c r="R48" i="2"/>
  <c r="Q48" i="2"/>
  <c r="P48" i="2"/>
  <c r="O48" i="2"/>
  <c r="N48" i="2"/>
  <c r="M48" i="2"/>
  <c r="L48" i="2"/>
  <c r="K48" i="2"/>
  <c r="S47" i="2"/>
  <c r="R47" i="2"/>
  <c r="Q47" i="2"/>
  <c r="P47" i="2"/>
  <c r="O47" i="2"/>
  <c r="N47" i="2"/>
  <c r="M47" i="2"/>
  <c r="L47" i="2"/>
  <c r="K47" i="2"/>
  <c r="S46" i="2"/>
  <c r="R46" i="2"/>
  <c r="Q46" i="2"/>
  <c r="P46" i="2"/>
  <c r="O46" i="2"/>
  <c r="N46" i="2"/>
  <c r="M46" i="2"/>
  <c r="L46" i="2"/>
  <c r="K46" i="2"/>
  <c r="S45" i="2"/>
  <c r="R45" i="2"/>
  <c r="Q45" i="2"/>
  <c r="P45" i="2"/>
  <c r="O45" i="2"/>
  <c r="N45" i="2"/>
  <c r="M45" i="2"/>
  <c r="L45" i="2"/>
  <c r="K45" i="2"/>
  <c r="S44" i="2"/>
  <c r="R44" i="2"/>
  <c r="Q44" i="2"/>
  <c r="P44" i="2"/>
  <c r="O44" i="2"/>
  <c r="N44" i="2"/>
  <c r="M44" i="2"/>
  <c r="L44" i="2"/>
  <c r="K44" i="2"/>
  <c r="S43" i="2"/>
  <c r="R43" i="2"/>
  <c r="Q43" i="2"/>
  <c r="P43" i="2"/>
  <c r="O43" i="2"/>
  <c r="N43" i="2"/>
  <c r="M43" i="2"/>
  <c r="L43" i="2"/>
  <c r="K43" i="2"/>
  <c r="S42" i="2"/>
  <c r="R42" i="2"/>
  <c r="Q42" i="2"/>
  <c r="P42" i="2"/>
  <c r="O42" i="2"/>
  <c r="N42" i="2"/>
  <c r="M42" i="2"/>
  <c r="L42" i="2"/>
  <c r="K42" i="2"/>
  <c r="S41" i="2"/>
  <c r="R41" i="2"/>
  <c r="Q41" i="2"/>
  <c r="P41" i="2"/>
  <c r="O41" i="2"/>
  <c r="N41" i="2"/>
  <c r="M41" i="2"/>
  <c r="L41" i="2"/>
  <c r="K41" i="2"/>
  <c r="S40" i="2"/>
  <c r="R40" i="2"/>
  <c r="Q40" i="2"/>
  <c r="P40" i="2"/>
  <c r="O40" i="2"/>
  <c r="N40" i="2"/>
  <c r="M40" i="2"/>
  <c r="L40" i="2"/>
  <c r="K40" i="2"/>
  <c r="S39" i="2"/>
  <c r="R39" i="2"/>
  <c r="Q39" i="2"/>
  <c r="P39" i="2"/>
  <c r="O39" i="2"/>
  <c r="N39" i="2"/>
  <c r="M39" i="2"/>
  <c r="L39" i="2"/>
  <c r="K39" i="2"/>
  <c r="S38" i="2"/>
  <c r="R38" i="2"/>
  <c r="Q38" i="2"/>
  <c r="P38" i="2"/>
  <c r="O38" i="2"/>
  <c r="N38" i="2"/>
  <c r="M38" i="2"/>
  <c r="L38" i="2"/>
  <c r="K38" i="2"/>
  <c r="S37" i="2"/>
  <c r="R37" i="2"/>
  <c r="Q37" i="2"/>
  <c r="P37" i="2"/>
  <c r="O37" i="2"/>
  <c r="N37" i="2"/>
  <c r="M37" i="2"/>
  <c r="L37" i="2"/>
  <c r="K37" i="2"/>
  <c r="S36" i="2"/>
  <c r="R36" i="2"/>
  <c r="Q36" i="2"/>
  <c r="P36" i="2"/>
  <c r="O36" i="2"/>
  <c r="N36" i="2"/>
  <c r="M36" i="2"/>
  <c r="L36" i="2"/>
  <c r="K36" i="2"/>
  <c r="S35" i="2"/>
  <c r="R35" i="2"/>
  <c r="Q35" i="2"/>
  <c r="P35" i="2"/>
  <c r="O35" i="2"/>
  <c r="N35" i="2"/>
  <c r="M35" i="2"/>
  <c r="L35" i="2"/>
  <c r="K35" i="2"/>
  <c r="S34" i="2"/>
  <c r="R34" i="2"/>
  <c r="Q34" i="2"/>
  <c r="P34" i="2"/>
  <c r="O34" i="2"/>
  <c r="N34" i="2"/>
  <c r="M34" i="2"/>
  <c r="L34" i="2"/>
  <c r="K34" i="2"/>
  <c r="S33" i="2"/>
  <c r="R33" i="2"/>
  <c r="Q33" i="2"/>
  <c r="P33" i="2"/>
  <c r="O33" i="2"/>
  <c r="N33" i="2"/>
  <c r="M33" i="2"/>
  <c r="L33" i="2"/>
  <c r="K33" i="2"/>
  <c r="S32" i="2"/>
  <c r="R32" i="2"/>
  <c r="Q32" i="2"/>
  <c r="P32" i="2"/>
  <c r="O32" i="2"/>
  <c r="N32" i="2"/>
  <c r="M32" i="2"/>
  <c r="L32" i="2"/>
  <c r="K32" i="2"/>
  <c r="S31" i="2"/>
  <c r="R31" i="2"/>
  <c r="Q31" i="2"/>
  <c r="P31" i="2"/>
  <c r="O31" i="2"/>
  <c r="N31" i="2"/>
  <c r="M31" i="2"/>
  <c r="L31" i="2"/>
  <c r="K31" i="2"/>
  <c r="S30" i="2"/>
  <c r="R30" i="2"/>
  <c r="Q30" i="2"/>
  <c r="P30" i="2"/>
  <c r="O30" i="2"/>
  <c r="N30" i="2"/>
  <c r="M30" i="2"/>
  <c r="L30" i="2"/>
  <c r="K30" i="2"/>
  <c r="S29" i="2"/>
  <c r="R29" i="2"/>
  <c r="Q29" i="2"/>
  <c r="P29" i="2"/>
  <c r="O29" i="2"/>
  <c r="N29" i="2"/>
  <c r="M29" i="2"/>
  <c r="L29" i="2"/>
  <c r="K29" i="2"/>
  <c r="S28" i="2"/>
  <c r="R28" i="2"/>
  <c r="Q28" i="2"/>
  <c r="P28" i="2"/>
  <c r="O28" i="2"/>
  <c r="N28" i="2"/>
  <c r="M28" i="2"/>
  <c r="L28" i="2"/>
  <c r="K28" i="2"/>
  <c r="S27" i="2"/>
  <c r="R27" i="2"/>
  <c r="Q27" i="2"/>
  <c r="P27" i="2"/>
  <c r="O27" i="2"/>
  <c r="N27" i="2"/>
  <c r="M27" i="2"/>
  <c r="L27" i="2"/>
  <c r="K27" i="2"/>
  <c r="S26" i="2"/>
  <c r="R26" i="2"/>
  <c r="Q26" i="2"/>
  <c r="P26" i="2"/>
  <c r="O26" i="2"/>
  <c r="N26" i="2"/>
  <c r="M26" i="2"/>
  <c r="L26" i="2"/>
  <c r="K26" i="2"/>
  <c r="S25" i="2"/>
  <c r="R25" i="2"/>
  <c r="Q25" i="2"/>
  <c r="P25" i="2"/>
  <c r="O25" i="2"/>
  <c r="N25" i="2"/>
  <c r="M25" i="2"/>
  <c r="L25" i="2"/>
  <c r="K25" i="2"/>
  <c r="S24" i="2"/>
  <c r="R24" i="2"/>
  <c r="Q24" i="2"/>
  <c r="P24" i="2"/>
  <c r="O24" i="2"/>
  <c r="N24" i="2"/>
  <c r="M24" i="2"/>
  <c r="L24" i="2"/>
  <c r="K24" i="2"/>
  <c r="S23" i="2"/>
  <c r="R23" i="2"/>
  <c r="Q23" i="2"/>
  <c r="P23" i="2"/>
  <c r="O23" i="2"/>
  <c r="N23" i="2"/>
  <c r="M23" i="2"/>
  <c r="L23" i="2"/>
  <c r="K23" i="2"/>
  <c r="S22" i="2"/>
  <c r="R22" i="2"/>
  <c r="Q22" i="2"/>
  <c r="P22" i="2"/>
  <c r="O22" i="2"/>
  <c r="N22" i="2"/>
  <c r="M22" i="2"/>
  <c r="L22" i="2"/>
  <c r="K22" i="2"/>
  <c r="S21" i="2"/>
  <c r="R21" i="2"/>
  <c r="Q21" i="2"/>
  <c r="P21" i="2"/>
  <c r="O21" i="2"/>
  <c r="N21" i="2"/>
  <c r="M21" i="2"/>
  <c r="L21" i="2"/>
  <c r="K21" i="2"/>
  <c r="S20" i="2"/>
  <c r="R20" i="2"/>
  <c r="Q20" i="2"/>
  <c r="P20" i="2"/>
  <c r="O20" i="2"/>
  <c r="N20" i="2"/>
  <c r="M20" i="2"/>
  <c r="L20" i="2"/>
  <c r="K20" i="2"/>
  <c r="S19" i="2"/>
  <c r="R19" i="2"/>
  <c r="Q19" i="2"/>
  <c r="P19" i="2"/>
  <c r="O19" i="2"/>
  <c r="N19" i="2"/>
  <c r="M19" i="2"/>
  <c r="L19" i="2"/>
  <c r="K19" i="2"/>
  <c r="S18" i="2"/>
  <c r="R18" i="2"/>
  <c r="Q18" i="2"/>
  <c r="P18" i="2"/>
  <c r="O18" i="2"/>
  <c r="N18" i="2"/>
  <c r="M18" i="2"/>
  <c r="L18" i="2"/>
  <c r="K18" i="2"/>
  <c r="S17" i="2"/>
  <c r="R17" i="2"/>
  <c r="Q17" i="2"/>
  <c r="P17" i="2"/>
  <c r="O17" i="2"/>
  <c r="N17" i="2"/>
  <c r="M17" i="2"/>
  <c r="L17" i="2"/>
  <c r="K17" i="2"/>
  <c r="S16" i="2"/>
  <c r="R16" i="2"/>
  <c r="Q16" i="2"/>
  <c r="P16" i="2"/>
  <c r="O16" i="2"/>
  <c r="N16" i="2"/>
  <c r="M16" i="2"/>
  <c r="L16" i="2"/>
  <c r="K16" i="2"/>
  <c r="S15" i="2"/>
  <c r="R15" i="2"/>
  <c r="Q15" i="2"/>
  <c r="P15" i="2"/>
  <c r="O15" i="2"/>
  <c r="N15" i="2"/>
  <c r="M15" i="2"/>
  <c r="L15" i="2"/>
  <c r="K15" i="2"/>
  <c r="S14" i="2"/>
  <c r="R14" i="2"/>
  <c r="Q14" i="2"/>
  <c r="P14" i="2"/>
  <c r="O14" i="2"/>
  <c r="N14" i="2"/>
  <c r="M14" i="2"/>
  <c r="L14" i="2"/>
  <c r="K14" i="2"/>
  <c r="S13" i="2"/>
  <c r="R13" i="2"/>
  <c r="Q13" i="2"/>
  <c r="P13" i="2"/>
  <c r="O13" i="2"/>
  <c r="N13" i="2"/>
  <c r="M13" i="2"/>
  <c r="L13" i="2"/>
  <c r="K13" i="2"/>
  <c r="S12" i="2"/>
  <c r="R12" i="2"/>
  <c r="Q12" i="2"/>
  <c r="P12" i="2"/>
  <c r="O12" i="2"/>
  <c r="N12" i="2"/>
  <c r="M12" i="2"/>
  <c r="L12" i="2"/>
  <c r="K12" i="2"/>
  <c r="S11" i="2"/>
  <c r="R11" i="2"/>
  <c r="Q11" i="2"/>
  <c r="P11" i="2"/>
  <c r="O11" i="2"/>
  <c r="N11" i="2"/>
  <c r="M11" i="2"/>
  <c r="L11" i="2"/>
  <c r="K11" i="2"/>
  <c r="S10" i="2"/>
  <c r="R10" i="2"/>
  <c r="Q10" i="2"/>
  <c r="P10" i="2"/>
  <c r="O10" i="2"/>
  <c r="N10" i="2"/>
  <c r="M10" i="2"/>
  <c r="L10" i="2"/>
  <c r="K10" i="2"/>
</calcChain>
</file>

<file path=xl/sharedStrings.xml><?xml version="1.0" encoding="utf-8"?>
<sst xmlns="http://schemas.openxmlformats.org/spreadsheetml/2006/main" count="838" uniqueCount="199">
  <si>
    <t>Branch Plant | Bulk Item | 2nd Item Number | Status | Primary UOM</t>
  </si>
  <si>
    <t>in Cognos but not in PBI</t>
  </si>
  <si>
    <t>(none)</t>
  </si>
  <si>
    <t>in PBI but not in Cognos</t>
  </si>
  <si>
    <t>Cognos</t>
  </si>
  <si>
    <t>REGION</t>
  </si>
  <si>
    <t>Branch Plant</t>
  </si>
  <si>
    <t>Bulk Item</t>
  </si>
  <si>
    <t>2nd Item Number</t>
  </si>
  <si>
    <t>Status</t>
  </si>
  <si>
    <t>KG/EA OH</t>
  </si>
  <si>
    <t>LB/EA OH</t>
  </si>
  <si>
    <t>Hard Commit</t>
  </si>
  <si>
    <t>Primary UOM</t>
  </si>
  <si>
    <t>PBI</t>
  </si>
  <si>
    <t>Cognos Migration - Report ID 326 - CM - Inventory on Hand</t>
  </si>
  <si>
    <t>Data revised 7/6/2026</t>
  </si>
  <si>
    <t>Cognos filters</t>
  </si>
  <si>
    <t>loc.LIPQOH/10000.0 &gt; 0 (on-hand qty &gt; 0).</t>
  </si>
  <si>
    <t>LTRIM(RTRIM(tag.IMBULK)) IN the fixed Bulk-Item whitelist (~130 entries as written; duplicates kept verbatim to match Cognos byte-for-byte).</t>
  </si>
  <si>
    <t>Region prompt (Select_Region) optional -&gt; base query returns all regions; export was unfiltered.</t>
  </si>
  <si>
    <t>Inner joins: F4102&lt;-&gt;F4101 (IBITM=IMITM), F4101&lt;-&gt;F554101 (IMITM=IMITM), F4102&lt;-&gt;F41021 (IBITM=LIITM AND IBMCU=LIMCU).</t>
  </si>
  <si>
    <t>Slicers</t>
  </si>
  <si>
    <t>Select the Region - single-select dropdown on REGION (Americas, Aubange, Shanghai, Singapore, Mumbai, OTHER); optional, default = all. REGION is both a visible column and the slicer source.</t>
  </si>
  <si>
    <t>Links</t>
  </si>
  <si>
    <t>Power BI</t>
  </si>
  <si>
    <t>Pending publish to Power BI Service</t>
  </si>
  <si>
    <t>Michelman Reporting &gt; Production and Shipping &gt; Contract Manufacturing Orders &gt; Dashboard - CM Overview LIVE</t>
  </si>
  <si>
    <t>Report Location</t>
  </si>
  <si>
    <t>Note report uses JDE live data</t>
  </si>
  <si>
    <t>EDW</t>
  </si>
  <si>
    <t>CM Overview LIVE.pbix, page "CM Inventory on Hand"</t>
  </si>
  <si>
    <t>Comments</t>
  </si>
  <si>
    <t>VERDICT: CLEAN. 46/46 rows match Cognos exactly across all 9 columns; zero real discrepancies; no model/repo/PBIP changes made.</t>
  </si>
  <si>
    <t>Cognos Report</t>
  </si>
  <si>
    <t>As of 7/6/2026</t>
  </si>
  <si>
    <t>Sorted REGION, Bulk Item, 2nd Item Number. 46/46 rows match; every flag = 1.</t>
  </si>
  <si>
    <t>Compare</t>
  </si>
  <si>
    <t>Americas</t>
  </si>
  <si>
    <t>CIN2</t>
  </si>
  <si>
    <t>161190PX</t>
  </si>
  <si>
    <t>161190PX-T2</t>
  </si>
  <si>
    <t>23047.06033</t>
  </si>
  <si>
    <t>50810</t>
  </si>
  <si>
    <t>0</t>
  </si>
  <si>
    <t>LB</t>
  </si>
  <si>
    <t>CINC</t>
  </si>
  <si>
    <t>ABEX2525</t>
  </si>
  <si>
    <t>P</t>
  </si>
  <si>
    <t>28.576359</t>
  </si>
  <si>
    <t>63</t>
  </si>
  <si>
    <t>86.18267</t>
  </si>
  <si>
    <t>190</t>
  </si>
  <si>
    <t>DPE3500</t>
  </si>
  <si>
    <t>536.146926</t>
  </si>
  <si>
    <t>1182</t>
  </si>
  <si>
    <t>DPE3500-T2</t>
  </si>
  <si>
    <t>8346.1112</t>
  </si>
  <si>
    <t>18400</t>
  </si>
  <si>
    <t>HP1432AT</t>
  </si>
  <si>
    <t>115.212622</t>
  </si>
  <si>
    <t>254</t>
  </si>
  <si>
    <t>HP1632</t>
  </si>
  <si>
    <t>154.22162</t>
  </si>
  <si>
    <t>340</t>
  </si>
  <si>
    <t>HP1632-T2</t>
  </si>
  <si>
    <t>2.267965</t>
  </si>
  <si>
    <t>5</t>
  </si>
  <si>
    <t>HP401</t>
  </si>
  <si>
    <t>8.618267</t>
  </si>
  <si>
    <t>19</t>
  </si>
  <si>
    <t>MDU20</t>
  </si>
  <si>
    <t>A</t>
  </si>
  <si>
    <t>131.995563</t>
  </si>
  <si>
    <t>291</t>
  </si>
  <si>
    <t>108.86232</t>
  </si>
  <si>
    <t>240</t>
  </si>
  <si>
    <t>2724.279558</t>
  </si>
  <si>
    <t>6006</t>
  </si>
  <si>
    <t>MDU20-T2</t>
  </si>
  <si>
    <t>544.3116</t>
  </si>
  <si>
    <t>1200</t>
  </si>
  <si>
    <t>U101</t>
  </si>
  <si>
    <t>23.586836</t>
  </si>
  <si>
    <t>52</t>
  </si>
  <si>
    <t>U2022</t>
  </si>
  <si>
    <t>U2022-OP</t>
  </si>
  <si>
    <t>7348.2066</t>
  </si>
  <si>
    <t>16200</t>
  </si>
  <si>
    <t>3600</t>
  </si>
  <si>
    <t>U2022-PL</t>
  </si>
  <si>
    <t>435.44928</t>
  </si>
  <si>
    <t>960</t>
  </si>
  <si>
    <t>U502</t>
  </si>
  <si>
    <t>165.561445</t>
  </si>
  <si>
    <t>365</t>
  </si>
  <si>
    <t>U502-OP</t>
  </si>
  <si>
    <t>4082.337</t>
  </si>
  <si>
    <t>9000</t>
  </si>
  <si>
    <t>U701</t>
  </si>
  <si>
    <t>107.955134</t>
  </si>
  <si>
    <t>238</t>
  </si>
  <si>
    <t>U701-OP</t>
  </si>
  <si>
    <t>3674.1033</t>
  </si>
  <si>
    <t>8100</t>
  </si>
  <si>
    <t>U802</t>
  </si>
  <si>
    <t>U802-OP</t>
  </si>
  <si>
    <t>2245.28535</t>
  </si>
  <si>
    <t>4950</t>
  </si>
  <si>
    <t>U802.E</t>
  </si>
  <si>
    <t>Q</t>
  </si>
  <si>
    <t>1773</t>
  </si>
  <si>
    <t>3908.79047957089</t>
  </si>
  <si>
    <t>KG</t>
  </si>
  <si>
    <t>3908.790479</t>
  </si>
  <si>
    <t>UNYTEC201</t>
  </si>
  <si>
    <t>UNYTEC201-FD</t>
  </si>
  <si>
    <t>124.738075</t>
  </si>
  <si>
    <t>275</t>
  </si>
  <si>
    <t>Aubange</t>
  </si>
  <si>
    <t>AUB2</t>
  </si>
  <si>
    <t>6259.5834</t>
  </si>
  <si>
    <t>13800</t>
  </si>
  <si>
    <t>6001.03539</t>
  </si>
  <si>
    <t>13230</t>
  </si>
  <si>
    <t>AUBA</t>
  </si>
  <si>
    <t>MDU2012B.E</t>
  </si>
  <si>
    <t>40</t>
  </si>
  <si>
    <t>88.1847823930263</t>
  </si>
  <si>
    <t>88.184782</t>
  </si>
  <si>
    <t>MDU2012B.E-LP</t>
  </si>
  <si>
    <t>529.108694358158</t>
  </si>
  <si>
    <t>529.108694</t>
  </si>
  <si>
    <t>MDU2012B.E-TO</t>
  </si>
  <si>
    <t>4000</t>
  </si>
  <si>
    <t>8818.47823930263</t>
  </si>
  <si>
    <t>8818.478239</t>
  </si>
  <si>
    <t>MDU4075B.E</t>
  </si>
  <si>
    <t>L</t>
  </si>
  <si>
    <t>95</t>
  </si>
  <si>
    <t>209.438858183438</t>
  </si>
  <si>
    <t>209.438858</t>
  </si>
  <si>
    <t>66</t>
  </si>
  <si>
    <t>145.504890948493</t>
  </si>
  <si>
    <t>145.50489</t>
  </si>
  <si>
    <t>MDU4075B.E-LP</t>
  </si>
  <si>
    <t>360</t>
  </si>
  <si>
    <t>793.663041537237</t>
  </si>
  <si>
    <t>793.663041</t>
  </si>
  <si>
    <t>1800</t>
  </si>
  <si>
    <t>3968.31520768619</t>
  </si>
  <si>
    <t>3968.315207</t>
  </si>
  <si>
    <t>MDU4075B.E-TO</t>
  </si>
  <si>
    <t>6000</t>
  </si>
  <si>
    <t>13227.717358954</t>
  </si>
  <si>
    <t>13227.717358</t>
  </si>
  <si>
    <t>9800</t>
  </si>
  <si>
    <t>21605.2716862915</t>
  </si>
  <si>
    <t>21605.271686</t>
  </si>
  <si>
    <t>U2022EU.E</t>
  </si>
  <si>
    <t>U2022EU.E-TO</t>
  </si>
  <si>
    <t>2883</t>
  </si>
  <si>
    <t>6355.91819097737</t>
  </si>
  <si>
    <t>6355.91819</t>
  </si>
  <si>
    <t>U502.E</t>
  </si>
  <si>
    <t>U502.E-TO</t>
  </si>
  <si>
    <t>H</t>
  </si>
  <si>
    <t>800</t>
  </si>
  <si>
    <t>1763.69564786053</t>
  </si>
  <si>
    <t>1763.695647</t>
  </si>
  <si>
    <t>U601</t>
  </si>
  <si>
    <t>U601-OP</t>
  </si>
  <si>
    <t>4.53593e-05</t>
  </si>
  <si>
    <t>0.0001</t>
  </si>
  <si>
    <t>4.5E-05</t>
  </si>
  <si>
    <t>U802.E-TO</t>
  </si>
  <si>
    <t>1000</t>
  </si>
  <si>
    <t>2204.61955982566</t>
  </si>
  <si>
    <t>2204.619559</t>
  </si>
  <si>
    <t>2000</t>
  </si>
  <si>
    <t>4409.23911965132</t>
  </si>
  <si>
    <t>4409.239119</t>
  </si>
  <si>
    <t>Singapore</t>
  </si>
  <si>
    <t>SING</t>
  </si>
  <si>
    <t>NP4LF.S</t>
  </si>
  <si>
    <t>496.76</t>
  </si>
  <si>
    <t>1095.16681253899</t>
  </si>
  <si>
    <t>1095.166812</t>
  </si>
  <si>
    <t>SNG4</t>
  </si>
  <si>
    <t>6241.44</t>
  </si>
  <si>
    <t>13760.0007054783</t>
  </si>
  <si>
    <t>13760.000705</t>
  </si>
  <si>
    <t>113.39825</t>
  </si>
  <si>
    <t>250</t>
  </si>
  <si>
    <t>40.82337</t>
  </si>
  <si>
    <t>90</t>
  </si>
  <si>
    <t>612.3533169173</t>
  </si>
  <si>
    <t>1350.0061</t>
  </si>
  <si>
    <t>612.353317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</si>
</sst>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ahoma"/>
    </font>
    <font>
      <sz val="10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7E5E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showGridLines="0" workbookViewId="0">
      <selection activeCell="C29" sqref="C29"/>
    </sheetView>
  </sheetViews>
  <sheetFormatPr defaultRowHeight="15" x14ac:dyDescent="0.25"/>
  <cols>
    <col min="1" max="1" width="46" customWidth="1"/>
    <col min="3" max="4" width="46" customWidth="1"/>
  </cols>
  <sheetData>
    <row r="1" spans="1:4" ht="18" customHeight="1" x14ac:dyDescent="0.25">
      <c r="A1" s="1" t="s">
        <v>15</v>
      </c>
    </row>
    <row r="2" spans="1:4" x14ac:dyDescent="0.25">
      <c r="A2" s="2" t="s">
        <v>16</v>
      </c>
    </row>
    <row r="6" spans="1:4" x14ac:dyDescent="0.25">
      <c r="C6" s="3" t="s">
        <v>17</v>
      </c>
    </row>
    <row r="7" spans="1:4" x14ac:dyDescent="0.25">
      <c r="C7" s="2" t="s">
        <v>18</v>
      </c>
    </row>
    <row r="8" spans="1:4" x14ac:dyDescent="0.25">
      <c r="C8" s="2" t="s">
        <v>19</v>
      </c>
    </row>
    <row r="9" spans="1:4" x14ac:dyDescent="0.25">
      <c r="C9" s="2" t="s">
        <v>20</v>
      </c>
    </row>
    <row r="10" spans="1:4" x14ac:dyDescent="0.25">
      <c r="C10" s="2" t="s">
        <v>21</v>
      </c>
    </row>
    <row r="12" spans="1:4" x14ac:dyDescent="0.25">
      <c r="C12" s="3" t="s">
        <v>22</v>
      </c>
    </row>
    <row r="13" spans="1:4" x14ac:dyDescent="0.25">
      <c r="C13" s="2" t="s">
        <v>23</v>
      </c>
    </row>
    <row r="15" spans="1:4" x14ac:dyDescent="0.25">
      <c r="C15" s="3" t="s">
        <v>24</v>
      </c>
    </row>
    <row r="16" spans="1:4" x14ac:dyDescent="0.25">
      <c r="C16" s="2" t="s">
        <v>25</v>
      </c>
      <c r="D16" s="2" t="s">
        <v>26</v>
      </c>
    </row>
    <row r="17" spans="3:4" x14ac:dyDescent="0.25">
      <c r="C17" s="2" t="s">
        <v>4</v>
      </c>
      <c r="D17" s="2" t="s">
        <v>27</v>
      </c>
    </row>
    <row r="19" spans="3:4" x14ac:dyDescent="0.25">
      <c r="C19" s="3" t="s">
        <v>28</v>
      </c>
    </row>
    <row r="20" spans="3:4" x14ac:dyDescent="0.25">
      <c r="C20" s="2" t="s">
        <v>4</v>
      </c>
      <c r="D20" s="2" t="s">
        <v>27</v>
      </c>
    </row>
    <row r="21" spans="3:4" x14ac:dyDescent="0.25">
      <c r="D21" s="2" t="s">
        <v>29</v>
      </c>
    </row>
    <row r="22" spans="3:4" x14ac:dyDescent="0.25">
      <c r="C22" s="2" t="s">
        <v>30</v>
      </c>
      <c r="D22" s="2" t="s">
        <v>31</v>
      </c>
    </row>
    <row r="24" spans="3:4" x14ac:dyDescent="0.25">
      <c r="C24" s="3" t="s">
        <v>32</v>
      </c>
    </row>
    <row r="25" spans="3:4" x14ac:dyDescent="0.25">
      <c r="C25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5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46" customWidth="1"/>
    <col min="2" max="2" width="14" customWidth="1"/>
    <col min="3" max="3" width="12" customWidth="1"/>
    <col min="4" max="4" width="17" customWidth="1"/>
    <col min="5" max="5" width="9" customWidth="1"/>
    <col min="6" max="6" width="16" customWidth="1"/>
    <col min="7" max="7" width="18" customWidth="1"/>
    <col min="8" max="9" width="13" customWidth="1"/>
    <col min="11" max="11" width="9" customWidth="1"/>
    <col min="12" max="12" width="14" customWidth="1"/>
    <col min="13" max="13" width="11" customWidth="1"/>
    <col min="14" max="14" width="17" customWidth="1"/>
    <col min="15" max="15" width="9" customWidth="1"/>
    <col min="16" max="17" width="10" customWidth="1"/>
    <col min="18" max="19" width="13" customWidth="1"/>
    <col min="21" max="21" width="11" customWidth="1"/>
    <col min="22" max="22" width="14" customWidth="1"/>
    <col min="23" max="23" width="12" customWidth="1"/>
    <col min="24" max="24" width="17" customWidth="1"/>
    <col min="25" max="25" width="9" customWidth="1"/>
    <col min="26" max="26" width="13" customWidth="1"/>
    <col min="27" max="27" width="14" customWidth="1"/>
    <col min="28" max="29" width="13" customWidth="1"/>
  </cols>
  <sheetData>
    <row r="1" spans="1:29" x14ac:dyDescent="0.25">
      <c r="A1" s="3" t="s">
        <v>34</v>
      </c>
    </row>
    <row r="2" spans="1:29" x14ac:dyDescent="0.25">
      <c r="A2" s="2" t="s">
        <v>35</v>
      </c>
    </row>
    <row r="4" spans="1:29" x14ac:dyDescent="0.25">
      <c r="A4" s="2" t="s">
        <v>36</v>
      </c>
    </row>
    <row r="7" spans="1:29" x14ac:dyDescent="0.25">
      <c r="A7" s="4" t="s">
        <v>4</v>
      </c>
      <c r="K7" s="4" t="s">
        <v>37</v>
      </c>
      <c r="U7" s="4" t="s">
        <v>14</v>
      </c>
    </row>
    <row r="9" spans="1:29" x14ac:dyDescent="0.25">
      <c r="A9" s="5" t="s">
        <v>5</v>
      </c>
      <c r="B9" s="5" t="s">
        <v>6</v>
      </c>
      <c r="C9" s="5" t="s">
        <v>7</v>
      </c>
      <c r="D9" s="5" t="s">
        <v>8</v>
      </c>
      <c r="E9" s="5" t="s">
        <v>9</v>
      </c>
      <c r="F9" s="5" t="s">
        <v>10</v>
      </c>
      <c r="G9" s="5" t="s">
        <v>11</v>
      </c>
      <c r="H9" s="5" t="s">
        <v>12</v>
      </c>
      <c r="I9" s="5" t="s">
        <v>13</v>
      </c>
      <c r="K9" s="5" t="s">
        <v>5</v>
      </c>
      <c r="L9" s="5" t="s">
        <v>6</v>
      </c>
      <c r="M9" s="5" t="s">
        <v>7</v>
      </c>
      <c r="N9" s="5" t="s">
        <v>8</v>
      </c>
      <c r="O9" s="5" t="s">
        <v>9</v>
      </c>
      <c r="P9" s="5" t="s">
        <v>10</v>
      </c>
      <c r="Q9" s="5" t="s">
        <v>11</v>
      </c>
      <c r="R9" s="5" t="s">
        <v>12</v>
      </c>
      <c r="S9" s="5" t="s">
        <v>13</v>
      </c>
      <c r="U9" s="5" t="s">
        <v>5</v>
      </c>
      <c r="V9" s="5" t="s">
        <v>6</v>
      </c>
      <c r="W9" s="5" t="s">
        <v>7</v>
      </c>
      <c r="X9" s="5" t="s">
        <v>8</v>
      </c>
      <c r="Y9" s="5" t="s">
        <v>9</v>
      </c>
      <c r="Z9" s="5" t="s">
        <v>10</v>
      </c>
      <c r="AA9" s="5" t="s">
        <v>11</v>
      </c>
      <c r="AB9" s="5" t="s">
        <v>12</v>
      </c>
      <c r="AC9" s="5" t="s">
        <v>13</v>
      </c>
    </row>
    <row r="10" spans="1:29" x14ac:dyDescent="0.25">
      <c r="A10" s="2" t="s">
        <v>38</v>
      </c>
      <c r="B10" s="2" t="s">
        <v>39</v>
      </c>
      <c r="C10" s="2" t="s">
        <v>40</v>
      </c>
      <c r="D10" s="2" t="s">
        <v>41</v>
      </c>
      <c r="E10" s="2"/>
      <c r="F10" s="2" t="s">
        <v>42</v>
      </c>
      <c r="G10" s="2" t="s">
        <v>43</v>
      </c>
      <c r="H10" s="2" t="s">
        <v>44</v>
      </c>
      <c r="I10" s="2" t="s">
        <v>45</v>
      </c>
      <c r="K10" s="2" t="b">
        <f t="shared" ref="K10:K55" si="0">A10=U10</f>
        <v>1</v>
      </c>
      <c r="L10" s="2" t="b">
        <f t="shared" ref="L10:L55" si="1">B10=V10</f>
        <v>1</v>
      </c>
      <c r="M10" s="2" t="b">
        <f t="shared" ref="M10:M55" si="2">C10=W10</f>
        <v>1</v>
      </c>
      <c r="N10" s="2" t="b">
        <f t="shared" ref="N10:N55" si="3">D10=X10</f>
        <v>1</v>
      </c>
      <c r="O10" s="2" t="b">
        <f t="shared" ref="O10:O55" si="4">E10=Y10</f>
        <v>1</v>
      </c>
      <c r="P10" s="2" t="b">
        <f t="shared" ref="P10:P55" si="5">IFERROR(ABS(VALUE(F10)-VALUE(Z10))&lt;=0.000001,F10=Z10)</f>
        <v>1</v>
      </c>
      <c r="Q10" s="2" t="b">
        <f t="shared" ref="Q10:Q55" si="6">IFERROR(ABS(VALUE(G10)-VALUE(AA10))&lt;=0.000001,G10=AA10)</f>
        <v>1</v>
      </c>
      <c r="R10" s="2" t="b">
        <f t="shared" ref="R10:R55" si="7">H10=AB10</f>
        <v>1</v>
      </c>
      <c r="S10" s="2" t="b">
        <f t="shared" ref="S10:S55" si="8">I10=AC10</f>
        <v>1</v>
      </c>
      <c r="U10" s="2" t="s">
        <v>38</v>
      </c>
      <c r="V10" s="2" t="s">
        <v>39</v>
      </c>
      <c r="W10" s="2" t="s">
        <v>40</v>
      </c>
      <c r="X10" s="2" t="s">
        <v>41</v>
      </c>
      <c r="Y10" s="2"/>
      <c r="Z10" s="2" t="s">
        <v>42</v>
      </c>
      <c r="AA10" s="2" t="s">
        <v>43</v>
      </c>
      <c r="AB10" s="2" t="s">
        <v>44</v>
      </c>
      <c r="AC10" s="2" t="s">
        <v>45</v>
      </c>
    </row>
    <row r="11" spans="1:29" x14ac:dyDescent="0.25">
      <c r="A11" s="2" t="s">
        <v>38</v>
      </c>
      <c r="B11" s="2" t="s">
        <v>46</v>
      </c>
      <c r="C11" s="2" t="s">
        <v>47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44</v>
      </c>
      <c r="I11" s="2" t="s">
        <v>45</v>
      </c>
      <c r="K11" s="2" t="b">
        <f t="shared" si="0"/>
        <v>1</v>
      </c>
      <c r="L11" s="2" t="b">
        <f t="shared" si="1"/>
        <v>1</v>
      </c>
      <c r="M11" s="2" t="b">
        <f t="shared" si="2"/>
        <v>1</v>
      </c>
      <c r="N11" s="2" t="b">
        <f t="shared" si="3"/>
        <v>1</v>
      </c>
      <c r="O11" s="2" t="b">
        <f t="shared" si="4"/>
        <v>1</v>
      </c>
      <c r="P11" s="2" t="b">
        <f t="shared" si="5"/>
        <v>1</v>
      </c>
      <c r="Q11" s="2" t="b">
        <f t="shared" si="6"/>
        <v>1</v>
      </c>
      <c r="R11" s="2" t="b">
        <f t="shared" si="7"/>
        <v>1</v>
      </c>
      <c r="S11" s="2" t="b">
        <f t="shared" si="8"/>
        <v>1</v>
      </c>
      <c r="U11" s="2" t="s">
        <v>38</v>
      </c>
      <c r="V11" s="2" t="s">
        <v>46</v>
      </c>
      <c r="W11" s="2" t="s">
        <v>47</v>
      </c>
      <c r="X11" s="2" t="s">
        <v>47</v>
      </c>
      <c r="Y11" s="2" t="s">
        <v>48</v>
      </c>
      <c r="Z11" s="2" t="s">
        <v>49</v>
      </c>
      <c r="AA11" s="2" t="s">
        <v>50</v>
      </c>
      <c r="AB11" s="2" t="s">
        <v>44</v>
      </c>
      <c r="AC11" s="2" t="s">
        <v>45</v>
      </c>
    </row>
    <row r="12" spans="1:29" x14ac:dyDescent="0.25">
      <c r="A12" s="2" t="s">
        <v>38</v>
      </c>
      <c r="B12" s="2" t="s">
        <v>46</v>
      </c>
      <c r="C12" s="2" t="s">
        <v>47</v>
      </c>
      <c r="D12" s="2" t="s">
        <v>47</v>
      </c>
      <c r="E12" s="2"/>
      <c r="F12" s="2" t="s">
        <v>51</v>
      </c>
      <c r="G12" s="2" t="s">
        <v>52</v>
      </c>
      <c r="H12" s="2" t="s">
        <v>44</v>
      </c>
      <c r="I12" s="2" t="s">
        <v>45</v>
      </c>
      <c r="K12" s="2" t="b">
        <f t="shared" si="0"/>
        <v>1</v>
      </c>
      <c r="L12" s="2" t="b">
        <f t="shared" si="1"/>
        <v>1</v>
      </c>
      <c r="M12" s="2" t="b">
        <f t="shared" si="2"/>
        <v>1</v>
      </c>
      <c r="N12" s="2" t="b">
        <f t="shared" si="3"/>
        <v>1</v>
      </c>
      <c r="O12" s="2" t="b">
        <f t="shared" si="4"/>
        <v>1</v>
      </c>
      <c r="P12" s="2" t="b">
        <f t="shared" si="5"/>
        <v>1</v>
      </c>
      <c r="Q12" s="2" t="b">
        <f t="shared" si="6"/>
        <v>1</v>
      </c>
      <c r="R12" s="2" t="b">
        <f t="shared" si="7"/>
        <v>1</v>
      </c>
      <c r="S12" s="2" t="b">
        <f t="shared" si="8"/>
        <v>1</v>
      </c>
      <c r="U12" s="2" t="s">
        <v>38</v>
      </c>
      <c r="V12" s="2" t="s">
        <v>46</v>
      </c>
      <c r="W12" s="2" t="s">
        <v>47</v>
      </c>
      <c r="X12" s="2" t="s">
        <v>47</v>
      </c>
      <c r="Y12" s="2"/>
      <c r="Z12" s="2" t="s">
        <v>51</v>
      </c>
      <c r="AA12" s="2" t="s">
        <v>52</v>
      </c>
      <c r="AB12" s="2" t="s">
        <v>44</v>
      </c>
      <c r="AC12" s="2" t="s">
        <v>45</v>
      </c>
    </row>
    <row r="13" spans="1:29" x14ac:dyDescent="0.25">
      <c r="A13" s="2" t="s">
        <v>38</v>
      </c>
      <c r="B13" s="2" t="s">
        <v>39</v>
      </c>
      <c r="C13" s="2" t="s">
        <v>53</v>
      </c>
      <c r="D13" s="2" t="s">
        <v>53</v>
      </c>
      <c r="E13" s="2"/>
      <c r="F13" s="2" t="s">
        <v>54</v>
      </c>
      <c r="G13" s="2" t="s">
        <v>55</v>
      </c>
      <c r="H13" s="2" t="s">
        <v>44</v>
      </c>
      <c r="I13" s="2" t="s">
        <v>45</v>
      </c>
      <c r="K13" s="2" t="b">
        <f t="shared" si="0"/>
        <v>1</v>
      </c>
      <c r="L13" s="2" t="b">
        <f t="shared" si="1"/>
        <v>1</v>
      </c>
      <c r="M13" s="2" t="b">
        <f t="shared" si="2"/>
        <v>1</v>
      </c>
      <c r="N13" s="2" t="b">
        <f t="shared" si="3"/>
        <v>1</v>
      </c>
      <c r="O13" s="2" t="b">
        <f t="shared" si="4"/>
        <v>1</v>
      </c>
      <c r="P13" s="2" t="b">
        <f t="shared" si="5"/>
        <v>1</v>
      </c>
      <c r="Q13" s="2" t="b">
        <f t="shared" si="6"/>
        <v>1</v>
      </c>
      <c r="R13" s="2" t="b">
        <f t="shared" si="7"/>
        <v>1</v>
      </c>
      <c r="S13" s="2" t="b">
        <f t="shared" si="8"/>
        <v>1</v>
      </c>
      <c r="U13" s="2" t="s">
        <v>38</v>
      </c>
      <c r="V13" s="2" t="s">
        <v>39</v>
      </c>
      <c r="W13" s="2" t="s">
        <v>53</v>
      </c>
      <c r="X13" s="2" t="s">
        <v>53</v>
      </c>
      <c r="Y13" s="2"/>
      <c r="Z13" s="2" t="s">
        <v>54</v>
      </c>
      <c r="AA13" s="2" t="s">
        <v>55</v>
      </c>
      <c r="AB13" s="2" t="s">
        <v>44</v>
      </c>
      <c r="AC13" s="2" t="s">
        <v>45</v>
      </c>
    </row>
    <row r="14" spans="1:29" x14ac:dyDescent="0.25">
      <c r="A14" s="2" t="s">
        <v>38</v>
      </c>
      <c r="B14" s="2" t="s">
        <v>39</v>
      </c>
      <c r="C14" s="2" t="s">
        <v>53</v>
      </c>
      <c r="D14" s="2" t="s">
        <v>56</v>
      </c>
      <c r="E14" s="2"/>
      <c r="F14" s="2" t="s">
        <v>57</v>
      </c>
      <c r="G14" s="2" t="s">
        <v>58</v>
      </c>
      <c r="H14" s="2" t="s">
        <v>44</v>
      </c>
      <c r="I14" s="2" t="s">
        <v>45</v>
      </c>
      <c r="K14" s="2" t="b">
        <f t="shared" si="0"/>
        <v>1</v>
      </c>
      <c r="L14" s="2" t="b">
        <f t="shared" si="1"/>
        <v>1</v>
      </c>
      <c r="M14" s="2" t="b">
        <f t="shared" si="2"/>
        <v>1</v>
      </c>
      <c r="N14" s="2" t="b">
        <f t="shared" si="3"/>
        <v>1</v>
      </c>
      <c r="O14" s="2" t="b">
        <f t="shared" si="4"/>
        <v>1</v>
      </c>
      <c r="P14" s="2" t="b">
        <f t="shared" si="5"/>
        <v>1</v>
      </c>
      <c r="Q14" s="2" t="b">
        <f t="shared" si="6"/>
        <v>1</v>
      </c>
      <c r="R14" s="2" t="b">
        <f t="shared" si="7"/>
        <v>1</v>
      </c>
      <c r="S14" s="2" t="b">
        <f t="shared" si="8"/>
        <v>1</v>
      </c>
      <c r="U14" s="2" t="s">
        <v>38</v>
      </c>
      <c r="V14" s="2" t="s">
        <v>39</v>
      </c>
      <c r="W14" s="2" t="s">
        <v>53</v>
      </c>
      <c r="X14" s="2" t="s">
        <v>56</v>
      </c>
      <c r="Y14" s="2"/>
      <c r="Z14" s="2" t="s">
        <v>57</v>
      </c>
      <c r="AA14" s="2" t="s">
        <v>58</v>
      </c>
      <c r="AB14" s="2" t="s">
        <v>44</v>
      </c>
      <c r="AC14" s="2" t="s">
        <v>45</v>
      </c>
    </row>
    <row r="15" spans="1:29" x14ac:dyDescent="0.25">
      <c r="A15" s="2" t="s">
        <v>38</v>
      </c>
      <c r="B15" s="2" t="s">
        <v>39</v>
      </c>
      <c r="C15" s="2" t="s">
        <v>59</v>
      </c>
      <c r="D15" s="2" t="s">
        <v>59</v>
      </c>
      <c r="E15" s="2"/>
      <c r="F15" s="2" t="s">
        <v>60</v>
      </c>
      <c r="G15" s="2" t="s">
        <v>61</v>
      </c>
      <c r="H15" s="2" t="s">
        <v>44</v>
      </c>
      <c r="I15" s="2" t="s">
        <v>45</v>
      </c>
      <c r="K15" s="2" t="b">
        <f t="shared" si="0"/>
        <v>1</v>
      </c>
      <c r="L15" s="2" t="b">
        <f t="shared" si="1"/>
        <v>1</v>
      </c>
      <c r="M15" s="2" t="b">
        <f t="shared" si="2"/>
        <v>1</v>
      </c>
      <c r="N15" s="2" t="b">
        <f t="shared" si="3"/>
        <v>1</v>
      </c>
      <c r="O15" s="2" t="b">
        <f t="shared" si="4"/>
        <v>1</v>
      </c>
      <c r="P15" s="2" t="b">
        <f t="shared" si="5"/>
        <v>1</v>
      </c>
      <c r="Q15" s="2" t="b">
        <f t="shared" si="6"/>
        <v>1</v>
      </c>
      <c r="R15" s="2" t="b">
        <f t="shared" si="7"/>
        <v>1</v>
      </c>
      <c r="S15" s="2" t="b">
        <f t="shared" si="8"/>
        <v>1</v>
      </c>
      <c r="U15" s="2" t="s">
        <v>38</v>
      </c>
      <c r="V15" s="2" t="s">
        <v>39</v>
      </c>
      <c r="W15" s="2" t="s">
        <v>59</v>
      </c>
      <c r="X15" s="2" t="s">
        <v>59</v>
      </c>
      <c r="Y15" s="2"/>
      <c r="Z15" s="2" t="s">
        <v>60</v>
      </c>
      <c r="AA15" s="2" t="s">
        <v>61</v>
      </c>
      <c r="AB15" s="2" t="s">
        <v>44</v>
      </c>
      <c r="AC15" s="2" t="s">
        <v>45</v>
      </c>
    </row>
    <row r="16" spans="1:29" x14ac:dyDescent="0.25">
      <c r="A16" s="2" t="s">
        <v>38</v>
      </c>
      <c r="B16" s="2" t="s">
        <v>39</v>
      </c>
      <c r="C16" s="2" t="s">
        <v>62</v>
      </c>
      <c r="D16" s="2" t="s">
        <v>62</v>
      </c>
      <c r="E16" s="2"/>
      <c r="F16" s="2" t="s">
        <v>63</v>
      </c>
      <c r="G16" s="2" t="s">
        <v>64</v>
      </c>
      <c r="H16" s="2" t="s">
        <v>44</v>
      </c>
      <c r="I16" s="2" t="s">
        <v>45</v>
      </c>
      <c r="K16" s="2" t="b">
        <f t="shared" si="0"/>
        <v>1</v>
      </c>
      <c r="L16" s="2" t="b">
        <f t="shared" si="1"/>
        <v>1</v>
      </c>
      <c r="M16" s="2" t="b">
        <f t="shared" si="2"/>
        <v>1</v>
      </c>
      <c r="N16" s="2" t="b">
        <f t="shared" si="3"/>
        <v>1</v>
      </c>
      <c r="O16" s="2" t="b">
        <f t="shared" si="4"/>
        <v>1</v>
      </c>
      <c r="P16" s="2" t="b">
        <f t="shared" si="5"/>
        <v>1</v>
      </c>
      <c r="Q16" s="2" t="b">
        <f t="shared" si="6"/>
        <v>1</v>
      </c>
      <c r="R16" s="2" t="b">
        <f t="shared" si="7"/>
        <v>1</v>
      </c>
      <c r="S16" s="2" t="b">
        <f t="shared" si="8"/>
        <v>1</v>
      </c>
      <c r="U16" s="2" t="s">
        <v>38</v>
      </c>
      <c r="V16" s="2" t="s">
        <v>39</v>
      </c>
      <c r="W16" s="2" t="s">
        <v>62</v>
      </c>
      <c r="X16" s="2" t="s">
        <v>62</v>
      </c>
      <c r="Y16" s="2"/>
      <c r="Z16" s="2" t="s">
        <v>63</v>
      </c>
      <c r="AA16" s="2" t="s">
        <v>64</v>
      </c>
      <c r="AB16" s="2" t="s">
        <v>44</v>
      </c>
      <c r="AC16" s="2" t="s">
        <v>45</v>
      </c>
    </row>
    <row r="17" spans="1:29" x14ac:dyDescent="0.25">
      <c r="A17" s="2" t="s">
        <v>38</v>
      </c>
      <c r="B17" s="2" t="s">
        <v>39</v>
      </c>
      <c r="C17" s="2" t="s">
        <v>62</v>
      </c>
      <c r="D17" s="2" t="s">
        <v>65</v>
      </c>
      <c r="E17" s="2"/>
      <c r="F17" s="2" t="s">
        <v>66</v>
      </c>
      <c r="G17" s="2" t="s">
        <v>67</v>
      </c>
      <c r="H17" s="2" t="s">
        <v>44</v>
      </c>
      <c r="I17" s="2" t="s">
        <v>45</v>
      </c>
      <c r="K17" s="2" t="b">
        <f t="shared" si="0"/>
        <v>1</v>
      </c>
      <c r="L17" s="2" t="b">
        <f t="shared" si="1"/>
        <v>1</v>
      </c>
      <c r="M17" s="2" t="b">
        <f t="shared" si="2"/>
        <v>1</v>
      </c>
      <c r="N17" s="2" t="b">
        <f t="shared" si="3"/>
        <v>1</v>
      </c>
      <c r="O17" s="2" t="b">
        <f t="shared" si="4"/>
        <v>1</v>
      </c>
      <c r="P17" s="2" t="b">
        <f t="shared" si="5"/>
        <v>1</v>
      </c>
      <c r="Q17" s="2" t="b">
        <f t="shared" si="6"/>
        <v>1</v>
      </c>
      <c r="R17" s="2" t="b">
        <f t="shared" si="7"/>
        <v>1</v>
      </c>
      <c r="S17" s="2" t="b">
        <f t="shared" si="8"/>
        <v>1</v>
      </c>
      <c r="U17" s="2" t="s">
        <v>38</v>
      </c>
      <c r="V17" s="2" t="s">
        <v>39</v>
      </c>
      <c r="W17" s="2" t="s">
        <v>62</v>
      </c>
      <c r="X17" s="2" t="s">
        <v>65</v>
      </c>
      <c r="Y17" s="2"/>
      <c r="Z17" s="2" t="s">
        <v>66</v>
      </c>
      <c r="AA17" s="2" t="s">
        <v>67</v>
      </c>
      <c r="AB17" s="2" t="s">
        <v>44</v>
      </c>
      <c r="AC17" s="2" t="s">
        <v>45</v>
      </c>
    </row>
    <row r="18" spans="1:29" x14ac:dyDescent="0.25">
      <c r="A18" s="2" t="s">
        <v>38</v>
      </c>
      <c r="B18" s="2" t="s">
        <v>39</v>
      </c>
      <c r="C18" s="2" t="s">
        <v>68</v>
      </c>
      <c r="D18" s="2" t="s">
        <v>68</v>
      </c>
      <c r="E18" s="2"/>
      <c r="F18" s="2" t="s">
        <v>69</v>
      </c>
      <c r="G18" s="2" t="s">
        <v>70</v>
      </c>
      <c r="H18" s="2" t="s">
        <v>44</v>
      </c>
      <c r="I18" s="2" t="s">
        <v>45</v>
      </c>
      <c r="K18" s="2" t="b">
        <f t="shared" si="0"/>
        <v>1</v>
      </c>
      <c r="L18" s="2" t="b">
        <f t="shared" si="1"/>
        <v>1</v>
      </c>
      <c r="M18" s="2" t="b">
        <f t="shared" si="2"/>
        <v>1</v>
      </c>
      <c r="N18" s="2" t="b">
        <f t="shared" si="3"/>
        <v>1</v>
      </c>
      <c r="O18" s="2" t="b">
        <f t="shared" si="4"/>
        <v>1</v>
      </c>
      <c r="P18" s="2" t="b">
        <f t="shared" si="5"/>
        <v>1</v>
      </c>
      <c r="Q18" s="2" t="b">
        <f t="shared" si="6"/>
        <v>1</v>
      </c>
      <c r="R18" s="2" t="b">
        <f t="shared" si="7"/>
        <v>1</v>
      </c>
      <c r="S18" s="2" t="b">
        <f t="shared" si="8"/>
        <v>1</v>
      </c>
      <c r="U18" s="2" t="s">
        <v>38</v>
      </c>
      <c r="V18" s="2" t="s">
        <v>39</v>
      </c>
      <c r="W18" s="2" t="s">
        <v>68</v>
      </c>
      <c r="X18" s="2" t="s">
        <v>68</v>
      </c>
      <c r="Y18" s="2"/>
      <c r="Z18" s="2" t="s">
        <v>69</v>
      </c>
      <c r="AA18" s="2" t="s">
        <v>70</v>
      </c>
      <c r="AB18" s="2" t="s">
        <v>44</v>
      </c>
      <c r="AC18" s="2" t="s">
        <v>45</v>
      </c>
    </row>
    <row r="19" spans="1:29" x14ac:dyDescent="0.25">
      <c r="A19" s="2" t="s">
        <v>38</v>
      </c>
      <c r="B19" s="2" t="s">
        <v>39</v>
      </c>
      <c r="C19" s="2" t="s">
        <v>71</v>
      </c>
      <c r="D19" s="2" t="s">
        <v>71</v>
      </c>
      <c r="E19" s="2" t="s">
        <v>72</v>
      </c>
      <c r="F19" s="2" t="s">
        <v>73</v>
      </c>
      <c r="G19" s="2" t="s">
        <v>74</v>
      </c>
      <c r="H19" s="2" t="s">
        <v>44</v>
      </c>
      <c r="I19" s="2" t="s">
        <v>45</v>
      </c>
      <c r="K19" s="2" t="b">
        <f t="shared" si="0"/>
        <v>1</v>
      </c>
      <c r="L19" s="2" t="b">
        <f t="shared" si="1"/>
        <v>1</v>
      </c>
      <c r="M19" s="2" t="b">
        <f t="shared" si="2"/>
        <v>1</v>
      </c>
      <c r="N19" s="2" t="b">
        <f t="shared" si="3"/>
        <v>1</v>
      </c>
      <c r="O19" s="2" t="b">
        <f t="shared" si="4"/>
        <v>1</v>
      </c>
      <c r="P19" s="2" t="b">
        <f t="shared" si="5"/>
        <v>1</v>
      </c>
      <c r="Q19" s="2" t="b">
        <f t="shared" si="6"/>
        <v>1</v>
      </c>
      <c r="R19" s="2" t="b">
        <f t="shared" si="7"/>
        <v>1</v>
      </c>
      <c r="S19" s="2" t="b">
        <f t="shared" si="8"/>
        <v>1</v>
      </c>
      <c r="U19" s="2" t="s">
        <v>38</v>
      </c>
      <c r="V19" s="2" t="s">
        <v>39</v>
      </c>
      <c r="W19" s="2" t="s">
        <v>71</v>
      </c>
      <c r="X19" s="2" t="s">
        <v>71</v>
      </c>
      <c r="Y19" s="2" t="s">
        <v>72</v>
      </c>
      <c r="Z19" s="2" t="s">
        <v>73</v>
      </c>
      <c r="AA19" s="2" t="s">
        <v>74</v>
      </c>
      <c r="AB19" s="2" t="s">
        <v>44</v>
      </c>
      <c r="AC19" s="2" t="s">
        <v>45</v>
      </c>
    </row>
    <row r="20" spans="1:29" x14ac:dyDescent="0.25">
      <c r="A20" s="2" t="s">
        <v>38</v>
      </c>
      <c r="B20" s="2" t="s">
        <v>39</v>
      </c>
      <c r="C20" s="2" t="s">
        <v>71</v>
      </c>
      <c r="D20" s="2" t="s">
        <v>71</v>
      </c>
      <c r="E20" s="2" t="s">
        <v>48</v>
      </c>
      <c r="F20" s="2" t="s">
        <v>75</v>
      </c>
      <c r="G20" s="2" t="s">
        <v>76</v>
      </c>
      <c r="H20" s="2" t="s">
        <v>44</v>
      </c>
      <c r="I20" s="2" t="s">
        <v>45</v>
      </c>
      <c r="K20" s="2" t="b">
        <f t="shared" si="0"/>
        <v>1</v>
      </c>
      <c r="L20" s="2" t="b">
        <f t="shared" si="1"/>
        <v>1</v>
      </c>
      <c r="M20" s="2" t="b">
        <f t="shared" si="2"/>
        <v>1</v>
      </c>
      <c r="N20" s="2" t="b">
        <f t="shared" si="3"/>
        <v>1</v>
      </c>
      <c r="O20" s="2" t="b">
        <f t="shared" si="4"/>
        <v>1</v>
      </c>
      <c r="P20" s="2" t="b">
        <f t="shared" si="5"/>
        <v>1</v>
      </c>
      <c r="Q20" s="2" t="b">
        <f t="shared" si="6"/>
        <v>1</v>
      </c>
      <c r="R20" s="2" t="b">
        <f t="shared" si="7"/>
        <v>1</v>
      </c>
      <c r="S20" s="2" t="b">
        <f t="shared" si="8"/>
        <v>1</v>
      </c>
      <c r="U20" s="2" t="s">
        <v>38</v>
      </c>
      <c r="V20" s="2" t="s">
        <v>39</v>
      </c>
      <c r="W20" s="2" t="s">
        <v>71</v>
      </c>
      <c r="X20" s="2" t="s">
        <v>71</v>
      </c>
      <c r="Y20" s="2" t="s">
        <v>48</v>
      </c>
      <c r="Z20" s="2" t="s">
        <v>75</v>
      </c>
      <c r="AA20" s="2" t="s">
        <v>76</v>
      </c>
      <c r="AB20" s="2" t="s">
        <v>44</v>
      </c>
      <c r="AC20" s="2" t="s">
        <v>45</v>
      </c>
    </row>
    <row r="21" spans="1:29" x14ac:dyDescent="0.25">
      <c r="A21" s="2" t="s">
        <v>38</v>
      </c>
      <c r="B21" s="2" t="s">
        <v>39</v>
      </c>
      <c r="C21" s="2" t="s">
        <v>71</v>
      </c>
      <c r="D21" s="2" t="s">
        <v>71</v>
      </c>
      <c r="E21" s="2"/>
      <c r="F21" s="2" t="s">
        <v>77</v>
      </c>
      <c r="G21" s="2" t="s">
        <v>78</v>
      </c>
      <c r="H21" s="2" t="s">
        <v>44</v>
      </c>
      <c r="I21" s="2" t="s">
        <v>45</v>
      </c>
      <c r="K21" s="2" t="b">
        <f t="shared" si="0"/>
        <v>1</v>
      </c>
      <c r="L21" s="2" t="b">
        <f t="shared" si="1"/>
        <v>1</v>
      </c>
      <c r="M21" s="2" t="b">
        <f t="shared" si="2"/>
        <v>1</v>
      </c>
      <c r="N21" s="2" t="b">
        <f t="shared" si="3"/>
        <v>1</v>
      </c>
      <c r="O21" s="2" t="b">
        <f t="shared" si="4"/>
        <v>1</v>
      </c>
      <c r="P21" s="2" t="b">
        <f t="shared" si="5"/>
        <v>1</v>
      </c>
      <c r="Q21" s="2" t="b">
        <f t="shared" si="6"/>
        <v>1</v>
      </c>
      <c r="R21" s="2" t="b">
        <f t="shared" si="7"/>
        <v>1</v>
      </c>
      <c r="S21" s="2" t="b">
        <f t="shared" si="8"/>
        <v>1</v>
      </c>
      <c r="U21" s="2" t="s">
        <v>38</v>
      </c>
      <c r="V21" s="2" t="s">
        <v>39</v>
      </c>
      <c r="W21" s="2" t="s">
        <v>71</v>
      </c>
      <c r="X21" s="2" t="s">
        <v>71</v>
      </c>
      <c r="Y21" s="2"/>
      <c r="Z21" s="2" t="s">
        <v>77</v>
      </c>
      <c r="AA21" s="2" t="s">
        <v>78</v>
      </c>
      <c r="AB21" s="2" t="s">
        <v>44</v>
      </c>
      <c r="AC21" s="2" t="s">
        <v>45</v>
      </c>
    </row>
    <row r="22" spans="1:29" x14ac:dyDescent="0.25">
      <c r="A22" s="2" t="s">
        <v>38</v>
      </c>
      <c r="B22" s="2" t="s">
        <v>39</v>
      </c>
      <c r="C22" s="2" t="s">
        <v>71</v>
      </c>
      <c r="D22" s="2" t="s">
        <v>79</v>
      </c>
      <c r="E22" s="2"/>
      <c r="F22" s="2" t="s">
        <v>80</v>
      </c>
      <c r="G22" s="2" t="s">
        <v>81</v>
      </c>
      <c r="H22" s="2" t="s">
        <v>44</v>
      </c>
      <c r="I22" s="2" t="s">
        <v>45</v>
      </c>
      <c r="K22" s="2" t="b">
        <f t="shared" si="0"/>
        <v>1</v>
      </c>
      <c r="L22" s="2" t="b">
        <f t="shared" si="1"/>
        <v>1</v>
      </c>
      <c r="M22" s="2" t="b">
        <f t="shared" si="2"/>
        <v>1</v>
      </c>
      <c r="N22" s="2" t="b">
        <f t="shared" si="3"/>
        <v>1</v>
      </c>
      <c r="O22" s="2" t="b">
        <f t="shared" si="4"/>
        <v>1</v>
      </c>
      <c r="P22" s="2" t="b">
        <f t="shared" si="5"/>
        <v>1</v>
      </c>
      <c r="Q22" s="2" t="b">
        <f t="shared" si="6"/>
        <v>1</v>
      </c>
      <c r="R22" s="2" t="b">
        <f t="shared" si="7"/>
        <v>1</v>
      </c>
      <c r="S22" s="2" t="b">
        <f t="shared" si="8"/>
        <v>1</v>
      </c>
      <c r="U22" s="2" t="s">
        <v>38</v>
      </c>
      <c r="V22" s="2" t="s">
        <v>39</v>
      </c>
      <c r="W22" s="2" t="s">
        <v>71</v>
      </c>
      <c r="X22" s="2" t="s">
        <v>79</v>
      </c>
      <c r="Y22" s="2"/>
      <c r="Z22" s="2" t="s">
        <v>80</v>
      </c>
      <c r="AA22" s="2" t="s">
        <v>81</v>
      </c>
      <c r="AB22" s="2" t="s">
        <v>44</v>
      </c>
      <c r="AC22" s="2" t="s">
        <v>45</v>
      </c>
    </row>
    <row r="23" spans="1:29" x14ac:dyDescent="0.25">
      <c r="A23" s="2" t="s">
        <v>38</v>
      </c>
      <c r="B23" s="2" t="s">
        <v>39</v>
      </c>
      <c r="C23" s="2" t="s">
        <v>82</v>
      </c>
      <c r="D23" s="2" t="s">
        <v>82</v>
      </c>
      <c r="E23" s="2"/>
      <c r="F23" s="2" t="s">
        <v>83</v>
      </c>
      <c r="G23" s="2" t="s">
        <v>84</v>
      </c>
      <c r="H23" s="2" t="s">
        <v>44</v>
      </c>
      <c r="I23" s="2" t="s">
        <v>45</v>
      </c>
      <c r="K23" s="2" t="b">
        <f t="shared" si="0"/>
        <v>1</v>
      </c>
      <c r="L23" s="2" t="b">
        <f t="shared" si="1"/>
        <v>1</v>
      </c>
      <c r="M23" s="2" t="b">
        <f t="shared" si="2"/>
        <v>1</v>
      </c>
      <c r="N23" s="2" t="b">
        <f t="shared" si="3"/>
        <v>1</v>
      </c>
      <c r="O23" s="2" t="b">
        <f t="shared" si="4"/>
        <v>1</v>
      </c>
      <c r="P23" s="2" t="b">
        <f t="shared" si="5"/>
        <v>1</v>
      </c>
      <c r="Q23" s="2" t="b">
        <f t="shared" si="6"/>
        <v>1</v>
      </c>
      <c r="R23" s="2" t="b">
        <f t="shared" si="7"/>
        <v>1</v>
      </c>
      <c r="S23" s="2" t="b">
        <f t="shared" si="8"/>
        <v>1</v>
      </c>
      <c r="U23" s="2" t="s">
        <v>38</v>
      </c>
      <c r="V23" s="2" t="s">
        <v>39</v>
      </c>
      <c r="W23" s="2" t="s">
        <v>82</v>
      </c>
      <c r="X23" s="2" t="s">
        <v>82</v>
      </c>
      <c r="Y23" s="2"/>
      <c r="Z23" s="2" t="s">
        <v>83</v>
      </c>
      <c r="AA23" s="2" t="s">
        <v>84</v>
      </c>
      <c r="AB23" s="2" t="s">
        <v>44</v>
      </c>
      <c r="AC23" s="2" t="s">
        <v>45</v>
      </c>
    </row>
    <row r="24" spans="1:29" x14ac:dyDescent="0.25">
      <c r="A24" s="2" t="s">
        <v>38</v>
      </c>
      <c r="B24" s="2" t="s">
        <v>39</v>
      </c>
      <c r="C24" s="2" t="s">
        <v>85</v>
      </c>
      <c r="D24" s="2" t="s">
        <v>85</v>
      </c>
      <c r="E24" s="2"/>
      <c r="F24" s="2" t="s">
        <v>83</v>
      </c>
      <c r="G24" s="2" t="s">
        <v>84</v>
      </c>
      <c r="H24" s="2" t="s">
        <v>44</v>
      </c>
      <c r="I24" s="2" t="s">
        <v>45</v>
      </c>
      <c r="K24" s="2" t="b">
        <f t="shared" si="0"/>
        <v>1</v>
      </c>
      <c r="L24" s="2" t="b">
        <f t="shared" si="1"/>
        <v>1</v>
      </c>
      <c r="M24" s="2" t="b">
        <f t="shared" si="2"/>
        <v>1</v>
      </c>
      <c r="N24" s="2" t="b">
        <f t="shared" si="3"/>
        <v>1</v>
      </c>
      <c r="O24" s="2" t="b">
        <f t="shared" si="4"/>
        <v>1</v>
      </c>
      <c r="P24" s="2" t="b">
        <f t="shared" si="5"/>
        <v>1</v>
      </c>
      <c r="Q24" s="2" t="b">
        <f t="shared" si="6"/>
        <v>1</v>
      </c>
      <c r="R24" s="2" t="b">
        <f t="shared" si="7"/>
        <v>1</v>
      </c>
      <c r="S24" s="2" t="b">
        <f t="shared" si="8"/>
        <v>1</v>
      </c>
      <c r="U24" s="2" t="s">
        <v>38</v>
      </c>
      <c r="V24" s="2" t="s">
        <v>39</v>
      </c>
      <c r="W24" s="2" t="s">
        <v>85</v>
      </c>
      <c r="X24" s="2" t="s">
        <v>85</v>
      </c>
      <c r="Y24" s="2"/>
      <c r="Z24" s="2" t="s">
        <v>83</v>
      </c>
      <c r="AA24" s="2" t="s">
        <v>84</v>
      </c>
      <c r="AB24" s="2" t="s">
        <v>44</v>
      </c>
      <c r="AC24" s="2" t="s">
        <v>45</v>
      </c>
    </row>
    <row r="25" spans="1:29" x14ac:dyDescent="0.25">
      <c r="A25" s="2" t="s">
        <v>38</v>
      </c>
      <c r="B25" s="2" t="s">
        <v>39</v>
      </c>
      <c r="C25" s="2" t="s">
        <v>85</v>
      </c>
      <c r="D25" s="2" t="s">
        <v>86</v>
      </c>
      <c r="E25" s="2"/>
      <c r="F25" s="2" t="s">
        <v>87</v>
      </c>
      <c r="G25" s="2" t="s">
        <v>88</v>
      </c>
      <c r="H25" s="2" t="s">
        <v>89</v>
      </c>
      <c r="I25" s="2" t="s">
        <v>45</v>
      </c>
      <c r="K25" s="2" t="b">
        <f t="shared" si="0"/>
        <v>1</v>
      </c>
      <c r="L25" s="2" t="b">
        <f t="shared" si="1"/>
        <v>1</v>
      </c>
      <c r="M25" s="2" t="b">
        <f t="shared" si="2"/>
        <v>1</v>
      </c>
      <c r="N25" s="2" t="b">
        <f t="shared" si="3"/>
        <v>1</v>
      </c>
      <c r="O25" s="2" t="b">
        <f t="shared" si="4"/>
        <v>1</v>
      </c>
      <c r="P25" s="2" t="b">
        <f t="shared" si="5"/>
        <v>1</v>
      </c>
      <c r="Q25" s="2" t="b">
        <f t="shared" si="6"/>
        <v>1</v>
      </c>
      <c r="R25" s="2" t="b">
        <f t="shared" si="7"/>
        <v>1</v>
      </c>
      <c r="S25" s="2" t="b">
        <f t="shared" si="8"/>
        <v>1</v>
      </c>
      <c r="U25" s="2" t="s">
        <v>38</v>
      </c>
      <c r="V25" s="2" t="s">
        <v>39</v>
      </c>
      <c r="W25" s="2" t="s">
        <v>85</v>
      </c>
      <c r="X25" s="2" t="s">
        <v>86</v>
      </c>
      <c r="Y25" s="2"/>
      <c r="Z25" s="2" t="s">
        <v>87</v>
      </c>
      <c r="AA25" s="2" t="s">
        <v>88</v>
      </c>
      <c r="AB25" s="2" t="s">
        <v>89</v>
      </c>
      <c r="AC25" s="2" t="s">
        <v>45</v>
      </c>
    </row>
    <row r="26" spans="1:29" x14ac:dyDescent="0.25">
      <c r="A26" s="2" t="s">
        <v>38</v>
      </c>
      <c r="B26" s="2" t="s">
        <v>39</v>
      </c>
      <c r="C26" s="2" t="s">
        <v>85</v>
      </c>
      <c r="D26" s="2" t="s">
        <v>90</v>
      </c>
      <c r="E26" s="2"/>
      <c r="F26" s="2" t="s">
        <v>91</v>
      </c>
      <c r="G26" s="2" t="s">
        <v>92</v>
      </c>
      <c r="H26" s="2" t="s">
        <v>44</v>
      </c>
      <c r="I26" s="2" t="s">
        <v>45</v>
      </c>
      <c r="K26" s="2" t="b">
        <f t="shared" si="0"/>
        <v>1</v>
      </c>
      <c r="L26" s="2" t="b">
        <f t="shared" si="1"/>
        <v>1</v>
      </c>
      <c r="M26" s="2" t="b">
        <f t="shared" si="2"/>
        <v>1</v>
      </c>
      <c r="N26" s="2" t="b">
        <f t="shared" si="3"/>
        <v>1</v>
      </c>
      <c r="O26" s="2" t="b">
        <f t="shared" si="4"/>
        <v>1</v>
      </c>
      <c r="P26" s="2" t="b">
        <f t="shared" si="5"/>
        <v>1</v>
      </c>
      <c r="Q26" s="2" t="b">
        <f t="shared" si="6"/>
        <v>1</v>
      </c>
      <c r="R26" s="2" t="b">
        <f t="shared" si="7"/>
        <v>1</v>
      </c>
      <c r="S26" s="2" t="b">
        <f t="shared" si="8"/>
        <v>1</v>
      </c>
      <c r="U26" s="2" t="s">
        <v>38</v>
      </c>
      <c r="V26" s="2" t="s">
        <v>39</v>
      </c>
      <c r="W26" s="2" t="s">
        <v>85</v>
      </c>
      <c r="X26" s="2" t="s">
        <v>90</v>
      </c>
      <c r="Y26" s="2"/>
      <c r="Z26" s="2" t="s">
        <v>91</v>
      </c>
      <c r="AA26" s="2" t="s">
        <v>92</v>
      </c>
      <c r="AB26" s="2" t="s">
        <v>44</v>
      </c>
      <c r="AC26" s="2" t="s">
        <v>45</v>
      </c>
    </row>
    <row r="27" spans="1:29" x14ac:dyDescent="0.25">
      <c r="A27" s="2" t="s">
        <v>38</v>
      </c>
      <c r="B27" s="2" t="s">
        <v>39</v>
      </c>
      <c r="C27" s="2" t="s">
        <v>93</v>
      </c>
      <c r="D27" s="2" t="s">
        <v>93</v>
      </c>
      <c r="E27" s="2"/>
      <c r="F27" s="2" t="s">
        <v>94</v>
      </c>
      <c r="G27" s="2" t="s">
        <v>95</v>
      </c>
      <c r="H27" s="2" t="s">
        <v>44</v>
      </c>
      <c r="I27" s="2" t="s">
        <v>45</v>
      </c>
      <c r="K27" s="2" t="b">
        <f t="shared" si="0"/>
        <v>1</v>
      </c>
      <c r="L27" s="2" t="b">
        <f t="shared" si="1"/>
        <v>1</v>
      </c>
      <c r="M27" s="2" t="b">
        <f t="shared" si="2"/>
        <v>1</v>
      </c>
      <c r="N27" s="2" t="b">
        <f t="shared" si="3"/>
        <v>1</v>
      </c>
      <c r="O27" s="2" t="b">
        <f t="shared" si="4"/>
        <v>1</v>
      </c>
      <c r="P27" s="2" t="b">
        <f t="shared" si="5"/>
        <v>1</v>
      </c>
      <c r="Q27" s="2" t="b">
        <f t="shared" si="6"/>
        <v>1</v>
      </c>
      <c r="R27" s="2" t="b">
        <f t="shared" si="7"/>
        <v>1</v>
      </c>
      <c r="S27" s="2" t="b">
        <f t="shared" si="8"/>
        <v>1</v>
      </c>
      <c r="U27" s="2" t="s">
        <v>38</v>
      </c>
      <c r="V27" s="2" t="s">
        <v>39</v>
      </c>
      <c r="W27" s="2" t="s">
        <v>93</v>
      </c>
      <c r="X27" s="2" t="s">
        <v>93</v>
      </c>
      <c r="Y27" s="2"/>
      <c r="Z27" s="2" t="s">
        <v>94</v>
      </c>
      <c r="AA27" s="2" t="s">
        <v>95</v>
      </c>
      <c r="AB27" s="2" t="s">
        <v>44</v>
      </c>
      <c r="AC27" s="2" t="s">
        <v>45</v>
      </c>
    </row>
    <row r="28" spans="1:29" x14ac:dyDescent="0.25">
      <c r="A28" s="2" t="s">
        <v>38</v>
      </c>
      <c r="B28" s="2" t="s">
        <v>39</v>
      </c>
      <c r="C28" s="2" t="s">
        <v>93</v>
      </c>
      <c r="D28" s="2" t="s">
        <v>96</v>
      </c>
      <c r="E28" s="2"/>
      <c r="F28" s="2" t="s">
        <v>97</v>
      </c>
      <c r="G28" s="2" t="s">
        <v>98</v>
      </c>
      <c r="H28" s="2" t="s">
        <v>44</v>
      </c>
      <c r="I28" s="2" t="s">
        <v>45</v>
      </c>
      <c r="K28" s="2" t="b">
        <f t="shared" si="0"/>
        <v>1</v>
      </c>
      <c r="L28" s="2" t="b">
        <f t="shared" si="1"/>
        <v>1</v>
      </c>
      <c r="M28" s="2" t="b">
        <f t="shared" si="2"/>
        <v>1</v>
      </c>
      <c r="N28" s="2" t="b">
        <f t="shared" si="3"/>
        <v>1</v>
      </c>
      <c r="O28" s="2" t="b">
        <f t="shared" si="4"/>
        <v>1</v>
      </c>
      <c r="P28" s="2" t="b">
        <f t="shared" si="5"/>
        <v>1</v>
      </c>
      <c r="Q28" s="2" t="b">
        <f t="shared" si="6"/>
        <v>1</v>
      </c>
      <c r="R28" s="2" t="b">
        <f t="shared" si="7"/>
        <v>1</v>
      </c>
      <c r="S28" s="2" t="b">
        <f t="shared" si="8"/>
        <v>1</v>
      </c>
      <c r="U28" s="2" t="s">
        <v>38</v>
      </c>
      <c r="V28" s="2" t="s">
        <v>39</v>
      </c>
      <c r="W28" s="2" t="s">
        <v>93</v>
      </c>
      <c r="X28" s="2" t="s">
        <v>96</v>
      </c>
      <c r="Y28" s="2"/>
      <c r="Z28" s="2" t="s">
        <v>97</v>
      </c>
      <c r="AA28" s="2" t="s">
        <v>98</v>
      </c>
      <c r="AB28" s="2" t="s">
        <v>44</v>
      </c>
      <c r="AC28" s="2" t="s">
        <v>45</v>
      </c>
    </row>
    <row r="29" spans="1:29" x14ac:dyDescent="0.25">
      <c r="A29" s="2" t="s">
        <v>38</v>
      </c>
      <c r="B29" s="2" t="s">
        <v>39</v>
      </c>
      <c r="C29" s="2" t="s">
        <v>99</v>
      </c>
      <c r="D29" s="2" t="s">
        <v>99</v>
      </c>
      <c r="E29" s="2"/>
      <c r="F29" s="2" t="s">
        <v>100</v>
      </c>
      <c r="G29" s="2" t="s">
        <v>101</v>
      </c>
      <c r="H29" s="2" t="s">
        <v>44</v>
      </c>
      <c r="I29" s="2" t="s">
        <v>45</v>
      </c>
      <c r="K29" s="2" t="b">
        <f t="shared" si="0"/>
        <v>1</v>
      </c>
      <c r="L29" s="2" t="b">
        <f t="shared" si="1"/>
        <v>1</v>
      </c>
      <c r="M29" s="2" t="b">
        <f t="shared" si="2"/>
        <v>1</v>
      </c>
      <c r="N29" s="2" t="b">
        <f t="shared" si="3"/>
        <v>1</v>
      </c>
      <c r="O29" s="2" t="b">
        <f t="shared" si="4"/>
        <v>1</v>
      </c>
      <c r="P29" s="2" t="b">
        <f t="shared" si="5"/>
        <v>1</v>
      </c>
      <c r="Q29" s="2" t="b">
        <f t="shared" si="6"/>
        <v>1</v>
      </c>
      <c r="R29" s="2" t="b">
        <f t="shared" si="7"/>
        <v>1</v>
      </c>
      <c r="S29" s="2" t="b">
        <f t="shared" si="8"/>
        <v>1</v>
      </c>
      <c r="U29" s="2" t="s">
        <v>38</v>
      </c>
      <c r="V29" s="2" t="s">
        <v>39</v>
      </c>
      <c r="W29" s="2" t="s">
        <v>99</v>
      </c>
      <c r="X29" s="2" t="s">
        <v>99</v>
      </c>
      <c r="Y29" s="2"/>
      <c r="Z29" s="2" t="s">
        <v>100</v>
      </c>
      <c r="AA29" s="2" t="s">
        <v>101</v>
      </c>
      <c r="AB29" s="2" t="s">
        <v>44</v>
      </c>
      <c r="AC29" s="2" t="s">
        <v>45</v>
      </c>
    </row>
    <row r="30" spans="1:29" x14ac:dyDescent="0.25">
      <c r="A30" s="2" t="s">
        <v>38</v>
      </c>
      <c r="B30" s="2" t="s">
        <v>39</v>
      </c>
      <c r="C30" s="2" t="s">
        <v>99</v>
      </c>
      <c r="D30" s="2" t="s">
        <v>102</v>
      </c>
      <c r="E30" s="2"/>
      <c r="F30" s="2" t="s">
        <v>103</v>
      </c>
      <c r="G30" s="2" t="s">
        <v>104</v>
      </c>
      <c r="H30" s="2" t="s">
        <v>44</v>
      </c>
      <c r="I30" s="2" t="s">
        <v>45</v>
      </c>
      <c r="K30" s="2" t="b">
        <f t="shared" si="0"/>
        <v>1</v>
      </c>
      <c r="L30" s="2" t="b">
        <f t="shared" si="1"/>
        <v>1</v>
      </c>
      <c r="M30" s="2" t="b">
        <f t="shared" si="2"/>
        <v>1</v>
      </c>
      <c r="N30" s="2" t="b">
        <f t="shared" si="3"/>
        <v>1</v>
      </c>
      <c r="O30" s="2" t="b">
        <f t="shared" si="4"/>
        <v>1</v>
      </c>
      <c r="P30" s="2" t="b">
        <f t="shared" si="5"/>
        <v>1</v>
      </c>
      <c r="Q30" s="2" t="b">
        <f t="shared" si="6"/>
        <v>1</v>
      </c>
      <c r="R30" s="2" t="b">
        <f t="shared" si="7"/>
        <v>1</v>
      </c>
      <c r="S30" s="2" t="b">
        <f t="shared" si="8"/>
        <v>1</v>
      </c>
      <c r="U30" s="2" t="s">
        <v>38</v>
      </c>
      <c r="V30" s="2" t="s">
        <v>39</v>
      </c>
      <c r="W30" s="2" t="s">
        <v>99</v>
      </c>
      <c r="X30" s="2" t="s">
        <v>102</v>
      </c>
      <c r="Y30" s="2"/>
      <c r="Z30" s="2" t="s">
        <v>103</v>
      </c>
      <c r="AA30" s="2" t="s">
        <v>104</v>
      </c>
      <c r="AB30" s="2" t="s">
        <v>44</v>
      </c>
      <c r="AC30" s="2" t="s">
        <v>45</v>
      </c>
    </row>
    <row r="31" spans="1:29" x14ac:dyDescent="0.25">
      <c r="A31" s="2" t="s">
        <v>38</v>
      </c>
      <c r="B31" s="2" t="s">
        <v>39</v>
      </c>
      <c r="C31" s="2" t="s">
        <v>105</v>
      </c>
      <c r="D31" s="2" t="s">
        <v>106</v>
      </c>
      <c r="E31" s="2"/>
      <c r="F31" s="2" t="s">
        <v>107</v>
      </c>
      <c r="G31" s="2" t="s">
        <v>108</v>
      </c>
      <c r="H31" s="2" t="s">
        <v>44</v>
      </c>
      <c r="I31" s="2" t="s">
        <v>45</v>
      </c>
      <c r="K31" s="2" t="b">
        <f t="shared" si="0"/>
        <v>1</v>
      </c>
      <c r="L31" s="2" t="b">
        <f t="shared" si="1"/>
        <v>1</v>
      </c>
      <c r="M31" s="2" t="b">
        <f t="shared" si="2"/>
        <v>1</v>
      </c>
      <c r="N31" s="2" t="b">
        <f t="shared" si="3"/>
        <v>1</v>
      </c>
      <c r="O31" s="2" t="b">
        <f t="shared" si="4"/>
        <v>1</v>
      </c>
      <c r="P31" s="2" t="b">
        <f t="shared" si="5"/>
        <v>1</v>
      </c>
      <c r="Q31" s="2" t="b">
        <f t="shared" si="6"/>
        <v>1</v>
      </c>
      <c r="R31" s="2" t="b">
        <f t="shared" si="7"/>
        <v>1</v>
      </c>
      <c r="S31" s="2" t="b">
        <f t="shared" si="8"/>
        <v>1</v>
      </c>
      <c r="U31" s="2" t="s">
        <v>38</v>
      </c>
      <c r="V31" s="2" t="s">
        <v>39</v>
      </c>
      <c r="W31" s="2" t="s">
        <v>105</v>
      </c>
      <c r="X31" s="2" t="s">
        <v>106</v>
      </c>
      <c r="Y31" s="2"/>
      <c r="Z31" s="2" t="s">
        <v>107</v>
      </c>
      <c r="AA31" s="2" t="s">
        <v>108</v>
      </c>
      <c r="AB31" s="2" t="s">
        <v>44</v>
      </c>
      <c r="AC31" s="2" t="s">
        <v>45</v>
      </c>
    </row>
    <row r="32" spans="1:29" x14ac:dyDescent="0.25">
      <c r="A32" s="2" t="s">
        <v>38</v>
      </c>
      <c r="B32" s="2" t="s">
        <v>39</v>
      </c>
      <c r="C32" s="2" t="s">
        <v>109</v>
      </c>
      <c r="D32" s="2" t="s">
        <v>109</v>
      </c>
      <c r="E32" s="2" t="s">
        <v>110</v>
      </c>
      <c r="F32" s="2" t="s">
        <v>111</v>
      </c>
      <c r="G32" s="2" t="s">
        <v>112</v>
      </c>
      <c r="H32" s="2" t="s">
        <v>44</v>
      </c>
      <c r="I32" s="2" t="s">
        <v>113</v>
      </c>
      <c r="K32" s="2" t="b">
        <f t="shared" si="0"/>
        <v>1</v>
      </c>
      <c r="L32" s="2" t="b">
        <f t="shared" si="1"/>
        <v>1</v>
      </c>
      <c r="M32" s="2" t="b">
        <f t="shared" si="2"/>
        <v>1</v>
      </c>
      <c r="N32" s="2" t="b">
        <f t="shared" si="3"/>
        <v>1</v>
      </c>
      <c r="O32" s="2" t="b">
        <f t="shared" si="4"/>
        <v>1</v>
      </c>
      <c r="P32" s="2" t="b">
        <f t="shared" si="5"/>
        <v>1</v>
      </c>
      <c r="Q32" s="2" t="b">
        <f t="shared" si="6"/>
        <v>1</v>
      </c>
      <c r="R32" s="2" t="b">
        <f t="shared" si="7"/>
        <v>1</v>
      </c>
      <c r="S32" s="2" t="b">
        <f t="shared" si="8"/>
        <v>1</v>
      </c>
      <c r="U32" s="2" t="s">
        <v>38</v>
      </c>
      <c r="V32" s="2" t="s">
        <v>39</v>
      </c>
      <c r="W32" s="2" t="s">
        <v>109</v>
      </c>
      <c r="X32" s="2" t="s">
        <v>109</v>
      </c>
      <c r="Y32" s="2" t="s">
        <v>110</v>
      </c>
      <c r="Z32" s="2" t="s">
        <v>111</v>
      </c>
      <c r="AA32" s="2" t="s">
        <v>114</v>
      </c>
      <c r="AB32" s="2" t="s">
        <v>44</v>
      </c>
      <c r="AC32" s="2" t="s">
        <v>113</v>
      </c>
    </row>
    <row r="33" spans="1:29" x14ac:dyDescent="0.25">
      <c r="A33" s="2" t="s">
        <v>38</v>
      </c>
      <c r="B33" s="2" t="s">
        <v>39</v>
      </c>
      <c r="C33" s="2" t="s">
        <v>115</v>
      </c>
      <c r="D33" s="2" t="s">
        <v>116</v>
      </c>
      <c r="E33" s="2" t="s">
        <v>110</v>
      </c>
      <c r="F33" s="2" t="s">
        <v>117</v>
      </c>
      <c r="G33" s="2" t="s">
        <v>118</v>
      </c>
      <c r="H33" s="2" t="s">
        <v>44</v>
      </c>
      <c r="I33" s="2" t="s">
        <v>45</v>
      </c>
      <c r="K33" s="2" t="b">
        <f t="shared" si="0"/>
        <v>1</v>
      </c>
      <c r="L33" s="2" t="b">
        <f t="shared" si="1"/>
        <v>1</v>
      </c>
      <c r="M33" s="2" t="b">
        <f t="shared" si="2"/>
        <v>1</v>
      </c>
      <c r="N33" s="2" t="b">
        <f t="shared" si="3"/>
        <v>1</v>
      </c>
      <c r="O33" s="2" t="b">
        <f t="shared" si="4"/>
        <v>1</v>
      </c>
      <c r="P33" s="2" t="b">
        <f t="shared" si="5"/>
        <v>1</v>
      </c>
      <c r="Q33" s="2" t="b">
        <f t="shared" si="6"/>
        <v>1</v>
      </c>
      <c r="R33" s="2" t="b">
        <f t="shared" si="7"/>
        <v>1</v>
      </c>
      <c r="S33" s="2" t="b">
        <f t="shared" si="8"/>
        <v>1</v>
      </c>
      <c r="U33" s="2" t="s">
        <v>38</v>
      </c>
      <c r="V33" s="2" t="s">
        <v>39</v>
      </c>
      <c r="W33" s="2" t="s">
        <v>115</v>
      </c>
      <c r="X33" s="2" t="s">
        <v>116</v>
      </c>
      <c r="Y33" s="2" t="s">
        <v>110</v>
      </c>
      <c r="Z33" s="2" t="s">
        <v>117</v>
      </c>
      <c r="AA33" s="2" t="s">
        <v>118</v>
      </c>
      <c r="AB33" s="2" t="s">
        <v>44</v>
      </c>
      <c r="AC33" s="2" t="s">
        <v>45</v>
      </c>
    </row>
    <row r="34" spans="1:29" x14ac:dyDescent="0.25">
      <c r="A34" s="2" t="s">
        <v>119</v>
      </c>
      <c r="B34" s="2" t="s">
        <v>120</v>
      </c>
      <c r="C34" s="2" t="s">
        <v>53</v>
      </c>
      <c r="D34" s="2" t="s">
        <v>56</v>
      </c>
      <c r="E34" s="2"/>
      <c r="F34" s="2" t="s">
        <v>121</v>
      </c>
      <c r="G34" s="2" t="s">
        <v>122</v>
      </c>
      <c r="H34" s="2" t="s">
        <v>44</v>
      </c>
      <c r="I34" s="2" t="s">
        <v>45</v>
      </c>
      <c r="K34" s="2" t="b">
        <f t="shared" si="0"/>
        <v>1</v>
      </c>
      <c r="L34" s="2" t="b">
        <f t="shared" si="1"/>
        <v>1</v>
      </c>
      <c r="M34" s="2" t="b">
        <f t="shared" si="2"/>
        <v>1</v>
      </c>
      <c r="N34" s="2" t="b">
        <f t="shared" si="3"/>
        <v>1</v>
      </c>
      <c r="O34" s="2" t="b">
        <f t="shared" si="4"/>
        <v>1</v>
      </c>
      <c r="P34" s="2" t="b">
        <f t="shared" si="5"/>
        <v>1</v>
      </c>
      <c r="Q34" s="2" t="b">
        <f t="shared" si="6"/>
        <v>1</v>
      </c>
      <c r="R34" s="2" t="b">
        <f t="shared" si="7"/>
        <v>1</v>
      </c>
      <c r="S34" s="2" t="b">
        <f t="shared" si="8"/>
        <v>1</v>
      </c>
      <c r="U34" s="2" t="s">
        <v>119</v>
      </c>
      <c r="V34" s="2" t="s">
        <v>120</v>
      </c>
      <c r="W34" s="2" t="s">
        <v>53</v>
      </c>
      <c r="X34" s="2" t="s">
        <v>56</v>
      </c>
      <c r="Y34" s="2"/>
      <c r="Z34" s="2" t="s">
        <v>121</v>
      </c>
      <c r="AA34" s="2" t="s">
        <v>122</v>
      </c>
      <c r="AB34" s="2" t="s">
        <v>44</v>
      </c>
      <c r="AC34" s="2" t="s">
        <v>45</v>
      </c>
    </row>
    <row r="35" spans="1:29" x14ac:dyDescent="0.25">
      <c r="A35" s="2" t="s">
        <v>119</v>
      </c>
      <c r="B35" s="2" t="s">
        <v>120</v>
      </c>
      <c r="C35" s="2" t="s">
        <v>62</v>
      </c>
      <c r="D35" s="2" t="s">
        <v>65</v>
      </c>
      <c r="E35" s="2"/>
      <c r="F35" s="2" t="s">
        <v>123</v>
      </c>
      <c r="G35" s="2" t="s">
        <v>124</v>
      </c>
      <c r="H35" s="2" t="s">
        <v>44</v>
      </c>
      <c r="I35" s="2" t="s">
        <v>45</v>
      </c>
      <c r="K35" s="2" t="b">
        <f t="shared" si="0"/>
        <v>1</v>
      </c>
      <c r="L35" s="2" t="b">
        <f t="shared" si="1"/>
        <v>1</v>
      </c>
      <c r="M35" s="2" t="b">
        <f t="shared" si="2"/>
        <v>1</v>
      </c>
      <c r="N35" s="2" t="b">
        <f t="shared" si="3"/>
        <v>1</v>
      </c>
      <c r="O35" s="2" t="b">
        <f t="shared" si="4"/>
        <v>1</v>
      </c>
      <c r="P35" s="2" t="b">
        <f t="shared" si="5"/>
        <v>1</v>
      </c>
      <c r="Q35" s="2" t="b">
        <f t="shared" si="6"/>
        <v>1</v>
      </c>
      <c r="R35" s="2" t="b">
        <f t="shared" si="7"/>
        <v>1</v>
      </c>
      <c r="S35" s="2" t="b">
        <f t="shared" si="8"/>
        <v>1</v>
      </c>
      <c r="U35" s="2" t="s">
        <v>119</v>
      </c>
      <c r="V35" s="2" t="s">
        <v>120</v>
      </c>
      <c r="W35" s="2" t="s">
        <v>62</v>
      </c>
      <c r="X35" s="2" t="s">
        <v>65</v>
      </c>
      <c r="Y35" s="2"/>
      <c r="Z35" s="2" t="s">
        <v>123</v>
      </c>
      <c r="AA35" s="2" t="s">
        <v>124</v>
      </c>
      <c r="AB35" s="2" t="s">
        <v>44</v>
      </c>
      <c r="AC35" s="2" t="s">
        <v>45</v>
      </c>
    </row>
    <row r="36" spans="1:29" x14ac:dyDescent="0.25">
      <c r="A36" s="2" t="s">
        <v>119</v>
      </c>
      <c r="B36" s="2" t="s">
        <v>125</v>
      </c>
      <c r="C36" s="2" t="s">
        <v>126</v>
      </c>
      <c r="D36" s="2" t="s">
        <v>126</v>
      </c>
      <c r="E36" s="2"/>
      <c r="F36" s="2" t="s">
        <v>127</v>
      </c>
      <c r="G36" s="2" t="s">
        <v>128</v>
      </c>
      <c r="H36" s="2" t="s">
        <v>44</v>
      </c>
      <c r="I36" s="2" t="s">
        <v>113</v>
      </c>
      <c r="K36" s="2" t="b">
        <f t="shared" si="0"/>
        <v>1</v>
      </c>
      <c r="L36" s="2" t="b">
        <f t="shared" si="1"/>
        <v>1</v>
      </c>
      <c r="M36" s="2" t="b">
        <f t="shared" si="2"/>
        <v>1</v>
      </c>
      <c r="N36" s="2" t="b">
        <f t="shared" si="3"/>
        <v>1</v>
      </c>
      <c r="O36" s="2" t="b">
        <f t="shared" si="4"/>
        <v>1</v>
      </c>
      <c r="P36" s="2" t="b">
        <f t="shared" si="5"/>
        <v>1</v>
      </c>
      <c r="Q36" s="2" t="b">
        <f t="shared" si="6"/>
        <v>1</v>
      </c>
      <c r="R36" s="2" t="b">
        <f t="shared" si="7"/>
        <v>1</v>
      </c>
      <c r="S36" s="2" t="b">
        <f t="shared" si="8"/>
        <v>1</v>
      </c>
      <c r="U36" s="2" t="s">
        <v>119</v>
      </c>
      <c r="V36" s="2" t="s">
        <v>125</v>
      </c>
      <c r="W36" s="2" t="s">
        <v>126</v>
      </c>
      <c r="X36" s="2" t="s">
        <v>126</v>
      </c>
      <c r="Y36" s="2"/>
      <c r="Z36" s="2" t="s">
        <v>127</v>
      </c>
      <c r="AA36" s="2" t="s">
        <v>129</v>
      </c>
      <c r="AB36" s="2" t="s">
        <v>44</v>
      </c>
      <c r="AC36" s="2" t="s">
        <v>113</v>
      </c>
    </row>
    <row r="37" spans="1:29" x14ac:dyDescent="0.25">
      <c r="A37" s="2" t="s">
        <v>119</v>
      </c>
      <c r="B37" s="2" t="s">
        <v>125</v>
      </c>
      <c r="C37" s="2" t="s">
        <v>126</v>
      </c>
      <c r="D37" s="2" t="s">
        <v>130</v>
      </c>
      <c r="E37" s="2"/>
      <c r="F37" s="2" t="s">
        <v>76</v>
      </c>
      <c r="G37" s="2" t="s">
        <v>131</v>
      </c>
      <c r="H37" s="2" t="s">
        <v>44</v>
      </c>
      <c r="I37" s="2" t="s">
        <v>113</v>
      </c>
      <c r="K37" s="2" t="b">
        <f t="shared" si="0"/>
        <v>1</v>
      </c>
      <c r="L37" s="2" t="b">
        <f t="shared" si="1"/>
        <v>1</v>
      </c>
      <c r="M37" s="2" t="b">
        <f t="shared" si="2"/>
        <v>1</v>
      </c>
      <c r="N37" s="2" t="b">
        <f t="shared" si="3"/>
        <v>1</v>
      </c>
      <c r="O37" s="2" t="b">
        <f t="shared" si="4"/>
        <v>1</v>
      </c>
      <c r="P37" s="2" t="b">
        <f t="shared" si="5"/>
        <v>1</v>
      </c>
      <c r="Q37" s="2" t="b">
        <f t="shared" si="6"/>
        <v>1</v>
      </c>
      <c r="R37" s="2" t="b">
        <f t="shared" si="7"/>
        <v>1</v>
      </c>
      <c r="S37" s="2" t="b">
        <f t="shared" si="8"/>
        <v>1</v>
      </c>
      <c r="U37" s="2" t="s">
        <v>119</v>
      </c>
      <c r="V37" s="2" t="s">
        <v>125</v>
      </c>
      <c r="W37" s="2" t="s">
        <v>126</v>
      </c>
      <c r="X37" s="2" t="s">
        <v>130</v>
      </c>
      <c r="Y37" s="2"/>
      <c r="Z37" s="2" t="s">
        <v>76</v>
      </c>
      <c r="AA37" s="2" t="s">
        <v>132</v>
      </c>
      <c r="AB37" s="2" t="s">
        <v>44</v>
      </c>
      <c r="AC37" s="2" t="s">
        <v>113</v>
      </c>
    </row>
    <row r="38" spans="1:29" x14ac:dyDescent="0.25">
      <c r="A38" s="2" t="s">
        <v>119</v>
      </c>
      <c r="B38" s="2" t="s">
        <v>120</v>
      </c>
      <c r="C38" s="2" t="s">
        <v>126</v>
      </c>
      <c r="D38" s="2" t="s">
        <v>133</v>
      </c>
      <c r="E38" s="2"/>
      <c r="F38" s="2" t="s">
        <v>134</v>
      </c>
      <c r="G38" s="2" t="s">
        <v>135</v>
      </c>
      <c r="H38" s="2" t="s">
        <v>44</v>
      </c>
      <c r="I38" s="2" t="s">
        <v>113</v>
      </c>
      <c r="K38" s="2" t="b">
        <f t="shared" si="0"/>
        <v>1</v>
      </c>
      <c r="L38" s="2" t="b">
        <f t="shared" si="1"/>
        <v>1</v>
      </c>
      <c r="M38" s="2" t="b">
        <f t="shared" si="2"/>
        <v>1</v>
      </c>
      <c r="N38" s="2" t="b">
        <f t="shared" si="3"/>
        <v>1</v>
      </c>
      <c r="O38" s="2" t="b">
        <f t="shared" si="4"/>
        <v>1</v>
      </c>
      <c r="P38" s="2" t="b">
        <f t="shared" si="5"/>
        <v>1</v>
      </c>
      <c r="Q38" s="2" t="b">
        <f t="shared" si="6"/>
        <v>1</v>
      </c>
      <c r="R38" s="2" t="b">
        <f t="shared" si="7"/>
        <v>1</v>
      </c>
      <c r="S38" s="2" t="b">
        <f t="shared" si="8"/>
        <v>1</v>
      </c>
      <c r="U38" s="2" t="s">
        <v>119</v>
      </c>
      <c r="V38" s="2" t="s">
        <v>120</v>
      </c>
      <c r="W38" s="2" t="s">
        <v>126</v>
      </c>
      <c r="X38" s="2" t="s">
        <v>133</v>
      </c>
      <c r="Y38" s="2"/>
      <c r="Z38" s="2" t="s">
        <v>134</v>
      </c>
      <c r="AA38" s="2" t="s">
        <v>136</v>
      </c>
      <c r="AB38" s="2" t="s">
        <v>44</v>
      </c>
      <c r="AC38" s="2" t="s">
        <v>113</v>
      </c>
    </row>
    <row r="39" spans="1:29" x14ac:dyDescent="0.25">
      <c r="A39" s="2" t="s">
        <v>119</v>
      </c>
      <c r="B39" s="2" t="s">
        <v>125</v>
      </c>
      <c r="C39" s="2" t="s">
        <v>137</v>
      </c>
      <c r="D39" s="2" t="s">
        <v>137</v>
      </c>
      <c r="E39" s="2" t="s">
        <v>138</v>
      </c>
      <c r="F39" s="2" t="s">
        <v>139</v>
      </c>
      <c r="G39" s="2" t="s">
        <v>140</v>
      </c>
      <c r="H39" s="2" t="s">
        <v>44</v>
      </c>
      <c r="I39" s="2" t="s">
        <v>113</v>
      </c>
      <c r="K39" s="2" t="b">
        <f t="shared" si="0"/>
        <v>1</v>
      </c>
      <c r="L39" s="2" t="b">
        <f t="shared" si="1"/>
        <v>1</v>
      </c>
      <c r="M39" s="2" t="b">
        <f t="shared" si="2"/>
        <v>1</v>
      </c>
      <c r="N39" s="2" t="b">
        <f t="shared" si="3"/>
        <v>1</v>
      </c>
      <c r="O39" s="2" t="b">
        <f t="shared" si="4"/>
        <v>1</v>
      </c>
      <c r="P39" s="2" t="b">
        <f t="shared" si="5"/>
        <v>1</v>
      </c>
      <c r="Q39" s="2" t="b">
        <f t="shared" si="6"/>
        <v>1</v>
      </c>
      <c r="R39" s="2" t="b">
        <f t="shared" si="7"/>
        <v>1</v>
      </c>
      <c r="S39" s="2" t="b">
        <f t="shared" si="8"/>
        <v>1</v>
      </c>
      <c r="U39" s="2" t="s">
        <v>119</v>
      </c>
      <c r="V39" s="2" t="s">
        <v>125</v>
      </c>
      <c r="W39" s="2" t="s">
        <v>137</v>
      </c>
      <c r="X39" s="2" t="s">
        <v>137</v>
      </c>
      <c r="Y39" s="2" t="s">
        <v>138</v>
      </c>
      <c r="Z39" s="2" t="s">
        <v>139</v>
      </c>
      <c r="AA39" s="2" t="s">
        <v>141</v>
      </c>
      <c r="AB39" s="2" t="s">
        <v>44</v>
      </c>
      <c r="AC39" s="2" t="s">
        <v>113</v>
      </c>
    </row>
    <row r="40" spans="1:29" x14ac:dyDescent="0.25">
      <c r="A40" s="2" t="s">
        <v>119</v>
      </c>
      <c r="B40" s="2" t="s">
        <v>125</v>
      </c>
      <c r="C40" s="2" t="s">
        <v>137</v>
      </c>
      <c r="D40" s="2" t="s">
        <v>137</v>
      </c>
      <c r="E40" s="2"/>
      <c r="F40" s="2" t="s">
        <v>142</v>
      </c>
      <c r="G40" s="2" t="s">
        <v>143</v>
      </c>
      <c r="H40" s="2" t="s">
        <v>44</v>
      </c>
      <c r="I40" s="2" t="s">
        <v>113</v>
      </c>
      <c r="K40" s="2" t="b">
        <f t="shared" si="0"/>
        <v>1</v>
      </c>
      <c r="L40" s="2" t="b">
        <f t="shared" si="1"/>
        <v>1</v>
      </c>
      <c r="M40" s="2" t="b">
        <f t="shared" si="2"/>
        <v>1</v>
      </c>
      <c r="N40" s="2" t="b">
        <f t="shared" si="3"/>
        <v>1</v>
      </c>
      <c r="O40" s="2" t="b">
        <f t="shared" si="4"/>
        <v>1</v>
      </c>
      <c r="P40" s="2" t="b">
        <f t="shared" si="5"/>
        <v>1</v>
      </c>
      <c r="Q40" s="2" t="b">
        <f t="shared" si="6"/>
        <v>1</v>
      </c>
      <c r="R40" s="2" t="b">
        <f t="shared" si="7"/>
        <v>1</v>
      </c>
      <c r="S40" s="2" t="b">
        <f t="shared" si="8"/>
        <v>1</v>
      </c>
      <c r="U40" s="2" t="s">
        <v>119</v>
      </c>
      <c r="V40" s="2" t="s">
        <v>125</v>
      </c>
      <c r="W40" s="2" t="s">
        <v>137</v>
      </c>
      <c r="X40" s="2" t="s">
        <v>137</v>
      </c>
      <c r="Y40" s="2"/>
      <c r="Z40" s="2" t="s">
        <v>142</v>
      </c>
      <c r="AA40" s="2" t="s">
        <v>144</v>
      </c>
      <c r="AB40" s="2" t="s">
        <v>44</v>
      </c>
      <c r="AC40" s="2" t="s">
        <v>113</v>
      </c>
    </row>
    <row r="41" spans="1:29" x14ac:dyDescent="0.25">
      <c r="A41" s="2" t="s">
        <v>119</v>
      </c>
      <c r="B41" s="2" t="s">
        <v>125</v>
      </c>
      <c r="C41" s="2" t="s">
        <v>137</v>
      </c>
      <c r="D41" s="2" t="s">
        <v>145</v>
      </c>
      <c r="E41" s="2" t="s">
        <v>72</v>
      </c>
      <c r="F41" s="2" t="s">
        <v>146</v>
      </c>
      <c r="G41" s="2" t="s">
        <v>147</v>
      </c>
      <c r="H41" s="2" t="s">
        <v>44</v>
      </c>
      <c r="I41" s="2" t="s">
        <v>113</v>
      </c>
      <c r="K41" s="2" t="b">
        <f t="shared" si="0"/>
        <v>1</v>
      </c>
      <c r="L41" s="2" t="b">
        <f t="shared" si="1"/>
        <v>1</v>
      </c>
      <c r="M41" s="2" t="b">
        <f t="shared" si="2"/>
        <v>1</v>
      </c>
      <c r="N41" s="2" t="b">
        <f t="shared" si="3"/>
        <v>1</v>
      </c>
      <c r="O41" s="2" t="b">
        <f t="shared" si="4"/>
        <v>1</v>
      </c>
      <c r="P41" s="2" t="b">
        <f t="shared" si="5"/>
        <v>1</v>
      </c>
      <c r="Q41" s="2" t="b">
        <f t="shared" si="6"/>
        <v>1</v>
      </c>
      <c r="R41" s="2" t="b">
        <f t="shared" si="7"/>
        <v>1</v>
      </c>
      <c r="S41" s="2" t="b">
        <f t="shared" si="8"/>
        <v>1</v>
      </c>
      <c r="U41" s="2" t="s">
        <v>119</v>
      </c>
      <c r="V41" s="2" t="s">
        <v>125</v>
      </c>
      <c r="W41" s="2" t="s">
        <v>137</v>
      </c>
      <c r="X41" s="2" t="s">
        <v>145</v>
      </c>
      <c r="Y41" s="2" t="s">
        <v>72</v>
      </c>
      <c r="Z41" s="2" t="s">
        <v>146</v>
      </c>
      <c r="AA41" s="2" t="s">
        <v>148</v>
      </c>
      <c r="AB41" s="2" t="s">
        <v>44</v>
      </c>
      <c r="AC41" s="2" t="s">
        <v>113</v>
      </c>
    </row>
    <row r="42" spans="1:29" x14ac:dyDescent="0.25">
      <c r="A42" s="2" t="s">
        <v>119</v>
      </c>
      <c r="B42" s="2" t="s">
        <v>120</v>
      </c>
      <c r="C42" s="2" t="s">
        <v>137</v>
      </c>
      <c r="D42" s="2" t="s">
        <v>145</v>
      </c>
      <c r="E42" s="2"/>
      <c r="F42" s="2" t="s">
        <v>149</v>
      </c>
      <c r="G42" s="2" t="s">
        <v>150</v>
      </c>
      <c r="H42" s="2" t="s">
        <v>44</v>
      </c>
      <c r="I42" s="2" t="s">
        <v>113</v>
      </c>
      <c r="K42" s="2" t="b">
        <f t="shared" si="0"/>
        <v>1</v>
      </c>
      <c r="L42" s="2" t="b">
        <f t="shared" si="1"/>
        <v>1</v>
      </c>
      <c r="M42" s="2" t="b">
        <f t="shared" si="2"/>
        <v>1</v>
      </c>
      <c r="N42" s="2" t="b">
        <f t="shared" si="3"/>
        <v>1</v>
      </c>
      <c r="O42" s="2" t="b">
        <f t="shared" si="4"/>
        <v>1</v>
      </c>
      <c r="P42" s="2" t="b">
        <f t="shared" si="5"/>
        <v>1</v>
      </c>
      <c r="Q42" s="2" t="b">
        <f t="shared" si="6"/>
        <v>1</v>
      </c>
      <c r="R42" s="2" t="b">
        <f t="shared" si="7"/>
        <v>1</v>
      </c>
      <c r="S42" s="2" t="b">
        <f t="shared" si="8"/>
        <v>1</v>
      </c>
      <c r="U42" s="2" t="s">
        <v>119</v>
      </c>
      <c r="V42" s="2" t="s">
        <v>120</v>
      </c>
      <c r="W42" s="2" t="s">
        <v>137</v>
      </c>
      <c r="X42" s="2" t="s">
        <v>145</v>
      </c>
      <c r="Y42" s="2"/>
      <c r="Z42" s="2" t="s">
        <v>149</v>
      </c>
      <c r="AA42" s="2" t="s">
        <v>151</v>
      </c>
      <c r="AB42" s="2" t="s">
        <v>44</v>
      </c>
      <c r="AC42" s="2" t="s">
        <v>113</v>
      </c>
    </row>
    <row r="43" spans="1:29" x14ac:dyDescent="0.25">
      <c r="A43" s="2" t="s">
        <v>119</v>
      </c>
      <c r="B43" s="2" t="s">
        <v>120</v>
      </c>
      <c r="C43" s="2" t="s">
        <v>137</v>
      </c>
      <c r="D43" s="2" t="s">
        <v>152</v>
      </c>
      <c r="E43" s="2"/>
      <c r="F43" s="2" t="s">
        <v>153</v>
      </c>
      <c r="G43" s="2" t="s">
        <v>154</v>
      </c>
      <c r="H43" s="2" t="s">
        <v>44</v>
      </c>
      <c r="I43" s="2" t="s">
        <v>113</v>
      </c>
      <c r="K43" s="2" t="b">
        <f t="shared" si="0"/>
        <v>1</v>
      </c>
      <c r="L43" s="2" t="b">
        <f t="shared" si="1"/>
        <v>1</v>
      </c>
      <c r="M43" s="2" t="b">
        <f t="shared" si="2"/>
        <v>1</v>
      </c>
      <c r="N43" s="2" t="b">
        <f t="shared" si="3"/>
        <v>1</v>
      </c>
      <c r="O43" s="2" t="b">
        <f t="shared" si="4"/>
        <v>1</v>
      </c>
      <c r="P43" s="2" t="b">
        <f t="shared" si="5"/>
        <v>1</v>
      </c>
      <c r="Q43" s="2" t="b">
        <f t="shared" si="6"/>
        <v>1</v>
      </c>
      <c r="R43" s="2" t="b">
        <f t="shared" si="7"/>
        <v>1</v>
      </c>
      <c r="S43" s="2" t="b">
        <f t="shared" si="8"/>
        <v>1</v>
      </c>
      <c r="U43" s="2" t="s">
        <v>119</v>
      </c>
      <c r="V43" s="2" t="s">
        <v>120</v>
      </c>
      <c r="W43" s="2" t="s">
        <v>137</v>
      </c>
      <c r="X43" s="2" t="s">
        <v>152</v>
      </c>
      <c r="Y43" s="2"/>
      <c r="Z43" s="2" t="s">
        <v>153</v>
      </c>
      <c r="AA43" s="2" t="s">
        <v>155</v>
      </c>
      <c r="AB43" s="2" t="s">
        <v>44</v>
      </c>
      <c r="AC43" s="2" t="s">
        <v>113</v>
      </c>
    </row>
    <row r="44" spans="1:29" x14ac:dyDescent="0.25">
      <c r="A44" s="2" t="s">
        <v>119</v>
      </c>
      <c r="B44" s="2" t="s">
        <v>125</v>
      </c>
      <c r="C44" s="2" t="s">
        <v>137</v>
      </c>
      <c r="D44" s="2" t="s">
        <v>152</v>
      </c>
      <c r="E44" s="2"/>
      <c r="F44" s="2" t="s">
        <v>156</v>
      </c>
      <c r="G44" s="2" t="s">
        <v>157</v>
      </c>
      <c r="H44" s="2" t="s">
        <v>98</v>
      </c>
      <c r="I44" s="2" t="s">
        <v>113</v>
      </c>
      <c r="K44" s="2" t="b">
        <f t="shared" si="0"/>
        <v>1</v>
      </c>
      <c r="L44" s="2" t="b">
        <f t="shared" si="1"/>
        <v>1</v>
      </c>
      <c r="M44" s="2" t="b">
        <f t="shared" si="2"/>
        <v>1</v>
      </c>
      <c r="N44" s="2" t="b">
        <f t="shared" si="3"/>
        <v>1</v>
      </c>
      <c r="O44" s="2" t="b">
        <f t="shared" si="4"/>
        <v>1</v>
      </c>
      <c r="P44" s="2" t="b">
        <f t="shared" si="5"/>
        <v>1</v>
      </c>
      <c r="Q44" s="2" t="b">
        <f t="shared" si="6"/>
        <v>1</v>
      </c>
      <c r="R44" s="2" t="b">
        <f t="shared" si="7"/>
        <v>1</v>
      </c>
      <c r="S44" s="2" t="b">
        <f t="shared" si="8"/>
        <v>1</v>
      </c>
      <c r="U44" s="2" t="s">
        <v>119</v>
      </c>
      <c r="V44" s="2" t="s">
        <v>125</v>
      </c>
      <c r="W44" s="2" t="s">
        <v>137</v>
      </c>
      <c r="X44" s="2" t="s">
        <v>152</v>
      </c>
      <c r="Y44" s="2"/>
      <c r="Z44" s="2" t="s">
        <v>156</v>
      </c>
      <c r="AA44" s="2" t="s">
        <v>158</v>
      </c>
      <c r="AB44" s="2" t="s">
        <v>98</v>
      </c>
      <c r="AC44" s="2" t="s">
        <v>113</v>
      </c>
    </row>
    <row r="45" spans="1:29" x14ac:dyDescent="0.25">
      <c r="A45" s="2" t="s">
        <v>119</v>
      </c>
      <c r="B45" s="2" t="s">
        <v>125</v>
      </c>
      <c r="C45" s="2" t="s">
        <v>159</v>
      </c>
      <c r="D45" s="2" t="s">
        <v>160</v>
      </c>
      <c r="E45" s="2"/>
      <c r="F45" s="2" t="s">
        <v>161</v>
      </c>
      <c r="G45" s="2" t="s">
        <v>162</v>
      </c>
      <c r="H45" s="2" t="s">
        <v>44</v>
      </c>
      <c r="I45" s="2" t="s">
        <v>113</v>
      </c>
      <c r="K45" s="2" t="b">
        <f t="shared" si="0"/>
        <v>1</v>
      </c>
      <c r="L45" s="2" t="b">
        <f t="shared" si="1"/>
        <v>1</v>
      </c>
      <c r="M45" s="2" t="b">
        <f t="shared" si="2"/>
        <v>1</v>
      </c>
      <c r="N45" s="2" t="b">
        <f t="shared" si="3"/>
        <v>1</v>
      </c>
      <c r="O45" s="2" t="b">
        <f t="shared" si="4"/>
        <v>1</v>
      </c>
      <c r="P45" s="2" t="b">
        <f t="shared" si="5"/>
        <v>1</v>
      </c>
      <c r="Q45" s="2" t="b">
        <f t="shared" si="6"/>
        <v>1</v>
      </c>
      <c r="R45" s="2" t="b">
        <f t="shared" si="7"/>
        <v>1</v>
      </c>
      <c r="S45" s="2" t="b">
        <f t="shared" si="8"/>
        <v>1</v>
      </c>
      <c r="U45" s="2" t="s">
        <v>119</v>
      </c>
      <c r="V45" s="2" t="s">
        <v>125</v>
      </c>
      <c r="W45" s="2" t="s">
        <v>159</v>
      </c>
      <c r="X45" s="2" t="s">
        <v>160</v>
      </c>
      <c r="Y45" s="2"/>
      <c r="Z45" s="2" t="s">
        <v>161</v>
      </c>
      <c r="AA45" s="2" t="s">
        <v>163</v>
      </c>
      <c r="AB45" s="2" t="s">
        <v>44</v>
      </c>
      <c r="AC45" s="2" t="s">
        <v>113</v>
      </c>
    </row>
    <row r="46" spans="1:29" x14ac:dyDescent="0.25">
      <c r="A46" s="2" t="s">
        <v>119</v>
      </c>
      <c r="B46" s="2" t="s">
        <v>125</v>
      </c>
      <c r="C46" s="2" t="s">
        <v>164</v>
      </c>
      <c r="D46" s="2" t="s">
        <v>165</v>
      </c>
      <c r="E46" s="2" t="s">
        <v>166</v>
      </c>
      <c r="F46" s="2" t="s">
        <v>167</v>
      </c>
      <c r="G46" s="2" t="s">
        <v>168</v>
      </c>
      <c r="H46" s="2" t="s">
        <v>44</v>
      </c>
      <c r="I46" s="2" t="s">
        <v>113</v>
      </c>
      <c r="K46" s="2" t="b">
        <f t="shared" si="0"/>
        <v>1</v>
      </c>
      <c r="L46" s="2" t="b">
        <f t="shared" si="1"/>
        <v>1</v>
      </c>
      <c r="M46" s="2" t="b">
        <f t="shared" si="2"/>
        <v>1</v>
      </c>
      <c r="N46" s="2" t="b">
        <f t="shared" si="3"/>
        <v>1</v>
      </c>
      <c r="O46" s="2" t="b">
        <f t="shared" si="4"/>
        <v>1</v>
      </c>
      <c r="P46" s="2" t="b">
        <f t="shared" si="5"/>
        <v>1</v>
      </c>
      <c r="Q46" s="2" t="b">
        <f t="shared" si="6"/>
        <v>1</v>
      </c>
      <c r="R46" s="2" t="b">
        <f t="shared" si="7"/>
        <v>1</v>
      </c>
      <c r="S46" s="2" t="b">
        <f t="shared" si="8"/>
        <v>1</v>
      </c>
      <c r="U46" s="2" t="s">
        <v>119</v>
      </c>
      <c r="V46" s="2" t="s">
        <v>125</v>
      </c>
      <c r="W46" s="2" t="s">
        <v>164</v>
      </c>
      <c r="X46" s="2" t="s">
        <v>165</v>
      </c>
      <c r="Y46" s="2" t="s">
        <v>166</v>
      </c>
      <c r="Z46" s="2" t="s">
        <v>167</v>
      </c>
      <c r="AA46" s="2" t="s">
        <v>169</v>
      </c>
      <c r="AB46" s="2" t="s">
        <v>44</v>
      </c>
      <c r="AC46" s="2" t="s">
        <v>113</v>
      </c>
    </row>
    <row r="47" spans="1:29" x14ac:dyDescent="0.25">
      <c r="A47" s="2" t="s">
        <v>119</v>
      </c>
      <c r="B47" s="2" t="s">
        <v>125</v>
      </c>
      <c r="C47" s="2" t="s">
        <v>164</v>
      </c>
      <c r="D47" s="2" t="s">
        <v>165</v>
      </c>
      <c r="E47" s="2"/>
      <c r="F47" s="2" t="s">
        <v>153</v>
      </c>
      <c r="G47" s="2" t="s">
        <v>154</v>
      </c>
      <c r="H47" s="2" t="s">
        <v>153</v>
      </c>
      <c r="I47" s="2" t="s">
        <v>113</v>
      </c>
      <c r="K47" s="2" t="b">
        <f t="shared" si="0"/>
        <v>1</v>
      </c>
      <c r="L47" s="2" t="b">
        <f t="shared" si="1"/>
        <v>1</v>
      </c>
      <c r="M47" s="2" t="b">
        <f t="shared" si="2"/>
        <v>1</v>
      </c>
      <c r="N47" s="2" t="b">
        <f t="shared" si="3"/>
        <v>1</v>
      </c>
      <c r="O47" s="2" t="b">
        <f t="shared" si="4"/>
        <v>1</v>
      </c>
      <c r="P47" s="2" t="b">
        <f t="shared" si="5"/>
        <v>1</v>
      </c>
      <c r="Q47" s="2" t="b">
        <f t="shared" si="6"/>
        <v>1</v>
      </c>
      <c r="R47" s="2" t="b">
        <f t="shared" si="7"/>
        <v>1</v>
      </c>
      <c r="S47" s="2" t="b">
        <f t="shared" si="8"/>
        <v>1</v>
      </c>
      <c r="U47" s="2" t="s">
        <v>119</v>
      </c>
      <c r="V47" s="2" t="s">
        <v>125</v>
      </c>
      <c r="W47" s="2" t="s">
        <v>164</v>
      </c>
      <c r="X47" s="2" t="s">
        <v>165</v>
      </c>
      <c r="Y47" s="2"/>
      <c r="Z47" s="2" t="s">
        <v>153</v>
      </c>
      <c r="AA47" s="2" t="s">
        <v>155</v>
      </c>
      <c r="AB47" s="2" t="s">
        <v>153</v>
      </c>
      <c r="AC47" s="2" t="s">
        <v>113</v>
      </c>
    </row>
    <row r="48" spans="1:29" x14ac:dyDescent="0.25">
      <c r="A48" s="2" t="s">
        <v>119</v>
      </c>
      <c r="B48" s="2" t="s">
        <v>125</v>
      </c>
      <c r="C48" s="2" t="s">
        <v>170</v>
      </c>
      <c r="D48" s="2" t="s">
        <v>171</v>
      </c>
      <c r="E48" s="2"/>
      <c r="F48" s="2" t="s">
        <v>172</v>
      </c>
      <c r="G48" s="2" t="s">
        <v>173</v>
      </c>
      <c r="H48" s="2" t="s">
        <v>44</v>
      </c>
      <c r="I48" s="2" t="s">
        <v>45</v>
      </c>
      <c r="K48" s="2" t="b">
        <f t="shared" si="0"/>
        <v>1</v>
      </c>
      <c r="L48" s="2" t="b">
        <f t="shared" si="1"/>
        <v>1</v>
      </c>
      <c r="M48" s="2" t="b">
        <f t="shared" si="2"/>
        <v>1</v>
      </c>
      <c r="N48" s="2" t="b">
        <f t="shared" si="3"/>
        <v>1</v>
      </c>
      <c r="O48" s="2" t="b">
        <f t="shared" si="4"/>
        <v>1</v>
      </c>
      <c r="P48" s="2" t="b">
        <f t="shared" si="5"/>
        <v>1</v>
      </c>
      <c r="Q48" s="2" t="b">
        <f t="shared" si="6"/>
        <v>1</v>
      </c>
      <c r="R48" s="2" t="b">
        <f t="shared" si="7"/>
        <v>1</v>
      </c>
      <c r="S48" s="2" t="b">
        <f t="shared" si="8"/>
        <v>1</v>
      </c>
      <c r="U48" s="2" t="s">
        <v>119</v>
      </c>
      <c r="V48" s="2" t="s">
        <v>125</v>
      </c>
      <c r="W48" s="2" t="s">
        <v>170</v>
      </c>
      <c r="X48" s="2" t="s">
        <v>171</v>
      </c>
      <c r="Y48" s="2"/>
      <c r="Z48" s="2" t="s">
        <v>174</v>
      </c>
      <c r="AA48" s="2" t="s">
        <v>173</v>
      </c>
      <c r="AB48" s="2" t="s">
        <v>44</v>
      </c>
      <c r="AC48" s="2" t="s">
        <v>45</v>
      </c>
    </row>
    <row r="49" spans="1:29" x14ac:dyDescent="0.25">
      <c r="A49" s="2" t="s">
        <v>119</v>
      </c>
      <c r="B49" s="2" t="s">
        <v>120</v>
      </c>
      <c r="C49" s="2" t="s">
        <v>109</v>
      </c>
      <c r="D49" s="2" t="s">
        <v>175</v>
      </c>
      <c r="E49" s="2"/>
      <c r="F49" s="2" t="s">
        <v>176</v>
      </c>
      <c r="G49" s="2" t="s">
        <v>177</v>
      </c>
      <c r="H49" s="2" t="s">
        <v>44</v>
      </c>
      <c r="I49" s="2" t="s">
        <v>113</v>
      </c>
      <c r="K49" s="2" t="b">
        <f t="shared" si="0"/>
        <v>1</v>
      </c>
      <c r="L49" s="2" t="b">
        <f t="shared" si="1"/>
        <v>1</v>
      </c>
      <c r="M49" s="2" t="b">
        <f t="shared" si="2"/>
        <v>1</v>
      </c>
      <c r="N49" s="2" t="b">
        <f t="shared" si="3"/>
        <v>1</v>
      </c>
      <c r="O49" s="2" t="b">
        <f t="shared" si="4"/>
        <v>1</v>
      </c>
      <c r="P49" s="2" t="b">
        <f t="shared" si="5"/>
        <v>1</v>
      </c>
      <c r="Q49" s="2" t="b">
        <f t="shared" si="6"/>
        <v>1</v>
      </c>
      <c r="R49" s="2" t="b">
        <f t="shared" si="7"/>
        <v>1</v>
      </c>
      <c r="S49" s="2" t="b">
        <f t="shared" si="8"/>
        <v>1</v>
      </c>
      <c r="U49" s="2" t="s">
        <v>119</v>
      </c>
      <c r="V49" s="2" t="s">
        <v>120</v>
      </c>
      <c r="W49" s="2" t="s">
        <v>109</v>
      </c>
      <c r="X49" s="2" t="s">
        <v>175</v>
      </c>
      <c r="Y49" s="2"/>
      <c r="Z49" s="2" t="s">
        <v>176</v>
      </c>
      <c r="AA49" s="2" t="s">
        <v>178</v>
      </c>
      <c r="AB49" s="2" t="s">
        <v>44</v>
      </c>
      <c r="AC49" s="2" t="s">
        <v>113</v>
      </c>
    </row>
    <row r="50" spans="1:29" x14ac:dyDescent="0.25">
      <c r="A50" s="2" t="s">
        <v>119</v>
      </c>
      <c r="B50" s="2" t="s">
        <v>125</v>
      </c>
      <c r="C50" s="2" t="s">
        <v>109</v>
      </c>
      <c r="D50" s="2" t="s">
        <v>175</v>
      </c>
      <c r="E50" s="2"/>
      <c r="F50" s="2" t="s">
        <v>179</v>
      </c>
      <c r="G50" s="2" t="s">
        <v>180</v>
      </c>
      <c r="H50" s="2" t="s">
        <v>179</v>
      </c>
      <c r="I50" s="2" t="s">
        <v>113</v>
      </c>
      <c r="K50" s="2" t="b">
        <f t="shared" si="0"/>
        <v>1</v>
      </c>
      <c r="L50" s="2" t="b">
        <f t="shared" si="1"/>
        <v>1</v>
      </c>
      <c r="M50" s="2" t="b">
        <f t="shared" si="2"/>
        <v>1</v>
      </c>
      <c r="N50" s="2" t="b">
        <f t="shared" si="3"/>
        <v>1</v>
      </c>
      <c r="O50" s="2" t="b">
        <f t="shared" si="4"/>
        <v>1</v>
      </c>
      <c r="P50" s="2" t="b">
        <f t="shared" si="5"/>
        <v>1</v>
      </c>
      <c r="Q50" s="2" t="b">
        <f t="shared" si="6"/>
        <v>1</v>
      </c>
      <c r="R50" s="2" t="b">
        <f t="shared" si="7"/>
        <v>1</v>
      </c>
      <c r="S50" s="2" t="b">
        <f t="shared" si="8"/>
        <v>1</v>
      </c>
      <c r="U50" s="2" t="s">
        <v>119</v>
      </c>
      <c r="V50" s="2" t="s">
        <v>125</v>
      </c>
      <c r="W50" s="2" t="s">
        <v>109</v>
      </c>
      <c r="X50" s="2" t="s">
        <v>175</v>
      </c>
      <c r="Y50" s="2"/>
      <c r="Z50" s="2" t="s">
        <v>179</v>
      </c>
      <c r="AA50" s="2" t="s">
        <v>181</v>
      </c>
      <c r="AB50" s="2" t="s">
        <v>179</v>
      </c>
      <c r="AC50" s="2" t="s">
        <v>113</v>
      </c>
    </row>
    <row r="51" spans="1:29" x14ac:dyDescent="0.25">
      <c r="A51" s="2" t="s">
        <v>182</v>
      </c>
      <c r="B51" s="2" t="s">
        <v>183</v>
      </c>
      <c r="C51" s="2" t="s">
        <v>184</v>
      </c>
      <c r="D51" s="2" t="s">
        <v>184</v>
      </c>
      <c r="E51" s="2"/>
      <c r="F51" s="2" t="s">
        <v>185</v>
      </c>
      <c r="G51" s="2" t="s">
        <v>186</v>
      </c>
      <c r="H51" s="2" t="s">
        <v>44</v>
      </c>
      <c r="I51" s="2" t="s">
        <v>113</v>
      </c>
      <c r="K51" s="2" t="b">
        <f t="shared" si="0"/>
        <v>1</v>
      </c>
      <c r="L51" s="2" t="b">
        <f t="shared" si="1"/>
        <v>1</v>
      </c>
      <c r="M51" s="2" t="b">
        <f t="shared" si="2"/>
        <v>1</v>
      </c>
      <c r="N51" s="2" t="b">
        <f t="shared" si="3"/>
        <v>1</v>
      </c>
      <c r="O51" s="2" t="b">
        <f t="shared" si="4"/>
        <v>1</v>
      </c>
      <c r="P51" s="2" t="b">
        <f t="shared" si="5"/>
        <v>1</v>
      </c>
      <c r="Q51" s="2" t="b">
        <f t="shared" si="6"/>
        <v>1</v>
      </c>
      <c r="R51" s="2" t="b">
        <f t="shared" si="7"/>
        <v>1</v>
      </c>
      <c r="S51" s="2" t="b">
        <f t="shared" si="8"/>
        <v>1</v>
      </c>
      <c r="U51" s="2" t="s">
        <v>182</v>
      </c>
      <c r="V51" s="2" t="s">
        <v>183</v>
      </c>
      <c r="W51" s="2" t="s">
        <v>184</v>
      </c>
      <c r="X51" s="2" t="s">
        <v>184</v>
      </c>
      <c r="Y51" s="2"/>
      <c r="Z51" s="2" t="s">
        <v>185</v>
      </c>
      <c r="AA51" s="2" t="s">
        <v>187</v>
      </c>
      <c r="AB51" s="2" t="s">
        <v>44</v>
      </c>
      <c r="AC51" s="2" t="s">
        <v>113</v>
      </c>
    </row>
    <row r="52" spans="1:29" x14ac:dyDescent="0.25">
      <c r="A52" s="2" t="s">
        <v>182</v>
      </c>
      <c r="B52" s="2" t="s">
        <v>188</v>
      </c>
      <c r="C52" s="2" t="s">
        <v>184</v>
      </c>
      <c r="D52" s="2" t="s">
        <v>184</v>
      </c>
      <c r="E52" s="2"/>
      <c r="F52" s="2" t="s">
        <v>189</v>
      </c>
      <c r="G52" s="2" t="s">
        <v>190</v>
      </c>
      <c r="H52" s="2" t="s">
        <v>44</v>
      </c>
      <c r="I52" s="2" t="s">
        <v>113</v>
      </c>
      <c r="K52" s="2" t="b">
        <f t="shared" si="0"/>
        <v>1</v>
      </c>
      <c r="L52" s="2" t="b">
        <f t="shared" si="1"/>
        <v>1</v>
      </c>
      <c r="M52" s="2" t="b">
        <f t="shared" si="2"/>
        <v>1</v>
      </c>
      <c r="N52" s="2" t="b">
        <f t="shared" si="3"/>
        <v>1</v>
      </c>
      <c r="O52" s="2" t="b">
        <f t="shared" si="4"/>
        <v>1</v>
      </c>
      <c r="P52" s="2" t="b">
        <f t="shared" si="5"/>
        <v>1</v>
      </c>
      <c r="Q52" s="2" t="b">
        <f t="shared" si="6"/>
        <v>1</v>
      </c>
      <c r="R52" s="2" t="b">
        <f t="shared" si="7"/>
        <v>1</v>
      </c>
      <c r="S52" s="2" t="b">
        <f t="shared" si="8"/>
        <v>1</v>
      </c>
      <c r="U52" s="2" t="s">
        <v>182</v>
      </c>
      <c r="V52" s="2" t="s">
        <v>188</v>
      </c>
      <c r="W52" s="2" t="s">
        <v>184</v>
      </c>
      <c r="X52" s="2" t="s">
        <v>184</v>
      </c>
      <c r="Y52" s="2"/>
      <c r="Z52" s="2" t="s">
        <v>189</v>
      </c>
      <c r="AA52" s="2" t="s">
        <v>191</v>
      </c>
      <c r="AB52" s="2" t="s">
        <v>44</v>
      </c>
      <c r="AC52" s="2" t="s">
        <v>113</v>
      </c>
    </row>
    <row r="53" spans="1:29" x14ac:dyDescent="0.25">
      <c r="A53" s="2" t="s">
        <v>182</v>
      </c>
      <c r="B53" s="2" t="s">
        <v>183</v>
      </c>
      <c r="C53" s="2" t="s">
        <v>85</v>
      </c>
      <c r="D53" s="2" t="s">
        <v>85</v>
      </c>
      <c r="E53" s="2" t="s">
        <v>72</v>
      </c>
      <c r="F53" s="2" t="s">
        <v>192</v>
      </c>
      <c r="G53" s="2" t="s">
        <v>193</v>
      </c>
      <c r="H53" s="2" t="s">
        <v>44</v>
      </c>
      <c r="I53" s="2" t="s">
        <v>45</v>
      </c>
      <c r="K53" s="2" t="b">
        <f t="shared" si="0"/>
        <v>1</v>
      </c>
      <c r="L53" s="2" t="b">
        <f t="shared" si="1"/>
        <v>1</v>
      </c>
      <c r="M53" s="2" t="b">
        <f t="shared" si="2"/>
        <v>1</v>
      </c>
      <c r="N53" s="2" t="b">
        <f t="shared" si="3"/>
        <v>1</v>
      </c>
      <c r="O53" s="2" t="b">
        <f t="shared" si="4"/>
        <v>1</v>
      </c>
      <c r="P53" s="2" t="b">
        <f t="shared" si="5"/>
        <v>1</v>
      </c>
      <c r="Q53" s="2" t="b">
        <f t="shared" si="6"/>
        <v>1</v>
      </c>
      <c r="R53" s="2" t="b">
        <f t="shared" si="7"/>
        <v>1</v>
      </c>
      <c r="S53" s="2" t="b">
        <f t="shared" si="8"/>
        <v>1</v>
      </c>
      <c r="U53" s="2" t="s">
        <v>182</v>
      </c>
      <c r="V53" s="2" t="s">
        <v>183</v>
      </c>
      <c r="W53" s="2" t="s">
        <v>85</v>
      </c>
      <c r="X53" s="2" t="s">
        <v>85</v>
      </c>
      <c r="Y53" s="2" t="s">
        <v>72</v>
      </c>
      <c r="Z53" s="2" t="s">
        <v>192</v>
      </c>
      <c r="AA53" s="2" t="s">
        <v>193</v>
      </c>
      <c r="AB53" s="2" t="s">
        <v>44</v>
      </c>
      <c r="AC53" s="2" t="s">
        <v>45</v>
      </c>
    </row>
    <row r="54" spans="1:29" x14ac:dyDescent="0.25">
      <c r="A54" s="2" t="s">
        <v>182</v>
      </c>
      <c r="B54" s="2" t="s">
        <v>183</v>
      </c>
      <c r="C54" s="2" t="s">
        <v>85</v>
      </c>
      <c r="D54" s="2" t="s">
        <v>85</v>
      </c>
      <c r="E54" s="2" t="s">
        <v>48</v>
      </c>
      <c r="F54" s="2" t="s">
        <v>194</v>
      </c>
      <c r="G54" s="2" t="s">
        <v>195</v>
      </c>
      <c r="H54" s="2" t="s">
        <v>44</v>
      </c>
      <c r="I54" s="2" t="s">
        <v>45</v>
      </c>
      <c r="K54" s="2" t="b">
        <f t="shared" si="0"/>
        <v>1</v>
      </c>
      <c r="L54" s="2" t="b">
        <f t="shared" si="1"/>
        <v>1</v>
      </c>
      <c r="M54" s="2" t="b">
        <f t="shared" si="2"/>
        <v>1</v>
      </c>
      <c r="N54" s="2" t="b">
        <f t="shared" si="3"/>
        <v>1</v>
      </c>
      <c r="O54" s="2" t="b">
        <f t="shared" si="4"/>
        <v>1</v>
      </c>
      <c r="P54" s="2" t="b">
        <f t="shared" si="5"/>
        <v>1</v>
      </c>
      <c r="Q54" s="2" t="b">
        <f t="shared" si="6"/>
        <v>1</v>
      </c>
      <c r="R54" s="2" t="b">
        <f t="shared" si="7"/>
        <v>1</v>
      </c>
      <c r="S54" s="2" t="b">
        <f t="shared" si="8"/>
        <v>1</v>
      </c>
      <c r="U54" s="2" t="s">
        <v>182</v>
      </c>
      <c r="V54" s="2" t="s">
        <v>183</v>
      </c>
      <c r="W54" s="2" t="s">
        <v>85</v>
      </c>
      <c r="X54" s="2" t="s">
        <v>85</v>
      </c>
      <c r="Y54" s="2" t="s">
        <v>48</v>
      </c>
      <c r="Z54" s="2" t="s">
        <v>194</v>
      </c>
      <c r="AA54" s="2" t="s">
        <v>195</v>
      </c>
      <c r="AB54" s="2" t="s">
        <v>44</v>
      </c>
      <c r="AC54" s="2" t="s">
        <v>45</v>
      </c>
    </row>
    <row r="55" spans="1:29" x14ac:dyDescent="0.25">
      <c r="A55" s="2" t="s">
        <v>182</v>
      </c>
      <c r="B55" s="2" t="s">
        <v>188</v>
      </c>
      <c r="C55" s="2" t="s">
        <v>85</v>
      </c>
      <c r="D55" s="2" t="s">
        <v>86</v>
      </c>
      <c r="E55" s="2" t="s">
        <v>72</v>
      </c>
      <c r="F55" s="2" t="s">
        <v>196</v>
      </c>
      <c r="G55" s="2" t="s">
        <v>197</v>
      </c>
      <c r="H55" s="2" t="s">
        <v>44</v>
      </c>
      <c r="I55" s="2" t="s">
        <v>45</v>
      </c>
      <c r="K55" s="2" t="b">
        <f t="shared" si="0"/>
        <v>1</v>
      </c>
      <c r="L55" s="2" t="b">
        <f t="shared" si="1"/>
        <v>1</v>
      </c>
      <c r="M55" s="2" t="b">
        <f t="shared" si="2"/>
        <v>1</v>
      </c>
      <c r="N55" s="2" t="b">
        <f t="shared" si="3"/>
        <v>1</v>
      </c>
      <c r="O55" s="2" t="b">
        <f t="shared" si="4"/>
        <v>1</v>
      </c>
      <c r="P55" s="2" t="b">
        <f t="shared" si="5"/>
        <v>1</v>
      </c>
      <c r="Q55" s="2" t="b">
        <f t="shared" si="6"/>
        <v>1</v>
      </c>
      <c r="R55" s="2" t="b">
        <f t="shared" si="7"/>
        <v>1</v>
      </c>
      <c r="S55" s="2" t="b">
        <f t="shared" si="8"/>
        <v>1</v>
      </c>
      <c r="U55" s="2" t="s">
        <v>182</v>
      </c>
      <c r="V55" s="2" t="s">
        <v>188</v>
      </c>
      <c r="W55" s="2" t="s">
        <v>85</v>
      </c>
      <c r="X55" s="2" t="s">
        <v>86</v>
      </c>
      <c r="Y55" s="2" t="s">
        <v>72</v>
      </c>
      <c r="Z55" s="2" t="s">
        <v>198</v>
      </c>
      <c r="AA55" s="2" t="s">
        <v>197</v>
      </c>
      <c r="AB55" s="2" t="s">
        <v>44</v>
      </c>
      <c r="AC55" s="2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showGridLines="0" tabSelected="1" workbookViewId="0">
      <selection activeCell="C22" sqref="C22"/>
    </sheetView>
  </sheetViews>
  <sheetFormatPr defaultRowHeight="15" x14ac:dyDescent="0.25"/>
  <cols>
    <col min="1" max="1" width="46" customWidth="1"/>
    <col min="2" max="2" width="26" customWidth="1"/>
    <col min="3" max="3" width="46" customWidth="1"/>
    <col min="4" max="4" width="11" customWidth="1"/>
    <col min="5" max="5" width="17" customWidth="1"/>
    <col min="6" max="6" width="9" customWidth="1"/>
    <col min="7" max="8" width="10" customWidth="1"/>
    <col min="9" max="10" width="13" customWidth="1"/>
  </cols>
  <sheetData>
    <row r="1" spans="1:10" x14ac:dyDescent="0.25">
      <c r="A1" s="3" t="s">
        <v>0</v>
      </c>
      <c r="B1" s="3" t="s">
        <v>1</v>
      </c>
    </row>
    <row r="2" spans="1:10" x14ac:dyDescent="0.25">
      <c r="A2" s="2" t="s">
        <v>2</v>
      </c>
    </row>
    <row r="4" spans="1:10" x14ac:dyDescent="0.25">
      <c r="A4" s="3" t="s">
        <v>3</v>
      </c>
    </row>
    <row r="5" spans="1:10" x14ac:dyDescent="0.25">
      <c r="A5" s="2" t="s">
        <v>2</v>
      </c>
    </row>
    <row r="7" spans="1:10" x14ac:dyDescent="0.25">
      <c r="C7" s="2"/>
    </row>
    <row r="10" spans="1:10" x14ac:dyDescent="0.25">
      <c r="A10" s="3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2" t="s">
        <v>13</v>
      </c>
    </row>
    <row r="11" spans="1:10" x14ac:dyDescent="0.25">
      <c r="A11" s="3" t="s">
        <v>14</v>
      </c>
      <c r="B11" s="2" t="s">
        <v>5</v>
      </c>
      <c r="C11" s="2" t="s">
        <v>6</v>
      </c>
      <c r="D11" s="2" t="s">
        <v>7</v>
      </c>
      <c r="E11" s="2" t="s">
        <v>8</v>
      </c>
      <c r="F11" s="2" t="s">
        <v>9</v>
      </c>
      <c r="G11" s="2" t="s">
        <v>10</v>
      </c>
      <c r="H11" s="2" t="s">
        <v>11</v>
      </c>
      <c r="I11" s="2" t="s">
        <v>12</v>
      </c>
      <c r="J11" s="2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0CD262C6-3EBD-423B-A0A4-235BC90D06E5}"/>
</file>

<file path=customXml/itemProps2.xml><?xml version="1.0" encoding="utf-8"?>
<ds:datastoreItem xmlns:ds="http://schemas.openxmlformats.org/officeDocument/2006/customXml" ds:itemID="{1B7FFC89-2B3F-425A-899E-8E74DB8B478F}"/>
</file>

<file path=customXml/itemProps3.xml><?xml version="1.0" encoding="utf-8"?>
<ds:datastoreItem xmlns:ds="http://schemas.openxmlformats.org/officeDocument/2006/customXml" ds:itemID="{5D89A4E4-A7DB-4412-ACA9-92453CC06D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Comparison</vt:lpstr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Bishop</cp:lastModifiedBy>
  <dcterms:created xsi:type="dcterms:W3CDTF">2026-07-07T01:37:31Z</dcterms:created>
  <dcterms:modified xsi:type="dcterms:W3CDTF">2026-07-10T16:12:19Z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