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C797D826-2D1F-43F0-8538-A09CD78DE042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Notes" sheetId="1" r:id="rId1"/>
    <sheet name="Comparison - Sales Orders" sheetId="2" r:id="rId2"/>
    <sheet name="Comparison - Inventory" sheetId="3" r:id="rId3"/>
    <sheet name="Comparison - Subtotals" sheetId="4" r:id="rId4"/>
    <sheet name="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4" l="1"/>
  <c r="L11" i="4"/>
  <c r="K11" i="4"/>
  <c r="J11" i="4"/>
  <c r="I11" i="4"/>
  <c r="H11" i="4"/>
  <c r="M10" i="4"/>
  <c r="L10" i="4"/>
  <c r="K10" i="4"/>
  <c r="J10" i="4"/>
  <c r="I10" i="4"/>
  <c r="H10" i="4"/>
  <c r="Q11" i="3"/>
  <c r="P11" i="3"/>
  <c r="O11" i="3"/>
  <c r="N11" i="3"/>
  <c r="M11" i="3"/>
  <c r="L11" i="3"/>
  <c r="K11" i="3"/>
  <c r="J11" i="3"/>
  <c r="Q10" i="3"/>
  <c r="P10" i="3"/>
  <c r="O10" i="3"/>
  <c r="N10" i="3"/>
  <c r="M10" i="3"/>
  <c r="L10" i="3"/>
  <c r="K10" i="3"/>
  <c r="J10" i="3"/>
  <c r="W11" i="2"/>
  <c r="V11" i="2"/>
  <c r="U11" i="2"/>
  <c r="T11" i="2"/>
  <c r="S11" i="2"/>
  <c r="R11" i="2"/>
  <c r="Q11" i="2"/>
  <c r="P11" i="2"/>
  <c r="O11" i="2"/>
  <c r="N11" i="2"/>
  <c r="M11" i="2"/>
  <c r="W10" i="2"/>
  <c r="V10" i="2"/>
  <c r="U10" i="2"/>
  <c r="T10" i="2"/>
  <c r="S10" i="2"/>
  <c r="R10" i="2"/>
  <c r="Q10" i="2"/>
  <c r="P10" i="2"/>
  <c r="O10" i="2"/>
  <c r="N10" i="2"/>
  <c r="M10" i="2"/>
</calcChain>
</file>

<file path=xl/sharedStrings.xml><?xml version="1.0" encoding="utf-8"?>
<sst xmlns="http://schemas.openxmlformats.org/spreadsheetml/2006/main" count="215" uniqueCount="82">
  <si>
    <t>Section / Item / Field (cell-level residuals - no missing rows)</t>
  </si>
  <si>
    <t>in Cognos but not in PBI</t>
  </si>
  <si>
    <t>(none)</t>
  </si>
  <si>
    <t>in PBI but not in Cognos</t>
  </si>
  <si>
    <t>Cognos</t>
  </si>
  <si>
    <t>Plant (SO block, trimmed)</t>
  </si>
  <si>
    <t>Plant (Inventory block)</t>
  </si>
  <si>
    <t>SO_Primary_Qty</t>
  </si>
  <si>
    <t>WO_Qty</t>
  </si>
  <si>
    <t>PBI</t>
  </si>
  <si>
    <t>Plant</t>
  </si>
  <si>
    <t>Plant (trimmed - fix deployed 2026-07-07)</t>
  </si>
  <si>
    <t>SO_Qty_Total</t>
  </si>
  <si>
    <t>WO_Qty_Total</t>
  </si>
  <si>
    <t>Cognos Migration - Report ID 324 - CM - Sales Orders &lt; 560 (Not Enough Inventory to Ship)</t>
  </si>
  <si>
    <t>Data revised 7/6/2026</t>
  </si>
  <si>
    <t>Cognos filters</t>
  </si>
  <si>
    <t>SO: SDNXTR IN (525..550 list) AND SDLNTY='S' AND SDLITM IN (Brent CM whitelist) AND no lot AND Promised &lt;= today+21 AND SDMCU IN (CINC,CIN2,CIN4); joins F0101 ship-to/sold-to + F0010.</t>
  </si>
  <si>
    <t>Inventory: IBMCU IN (CINC,CIN2,CIN4) AND LIPQOH/10000&gt;0 AND (LILOTS&lt;&gt;'' OR (LIPQOH-LIHCOM)/10000&gt;0).</t>
  </si>
  <si>
    <t>WO: WASRST IN (20,30,32,35,40,45,50,90) AND WAUORG/10000&gt;0 AND Requested &lt;= today+31 AND WAMMCU IN (CINC,CIN2,CIN4).</t>
  </si>
  <si>
    <t>Gate (DAX Show Item=1): show iff Ordered &gt; Available OR available blank/0.</t>
  </si>
  <si>
    <t>Slicers</t>
  </si>
  <si>
    <t>(none) - no report parameters/prompts; renders as-of last refresh.</t>
  </si>
  <si>
    <t>Links</t>
  </si>
  <si>
    <t>Power BI</t>
  </si>
  <si>
    <t>Pending publish to Power BI Service</t>
  </si>
  <si>
    <t>Michelman Reporting &gt; Production and Shipping &gt; Contract Manufacturing Orders &gt; Dashboard - CM Overview LIVE</t>
  </si>
  <si>
    <t>Report Location</t>
  </si>
  <si>
    <t>Note report uses JDE live data</t>
  </si>
  <si>
    <t>EDW</t>
  </si>
  <si>
    <t>CM Overview LIVE.pbix, page "SO under 560"</t>
  </si>
  <si>
    <t>Comments</t>
  </si>
  <si>
    <t>VERDICT: VALIDATED CLEAN - no open findings. Gate/item-set exact match: Cognos set = PBI [Show Item]=1 set = {U501-OP, U701-OP}; DPE3500-T2, U2022-OP, U502-OP correctly hidden.</t>
  </si>
  <si>
    <t>Match rates: Gate 5/5; SO detail 22/22 cells; Inventory 16/16 (Plant now trimmed in live model); WO 0/0; Subtotals 12/12.</t>
  </si>
  <si>
    <t>Cognos Report</t>
  </si>
  <si>
    <t>As of 7/6/2026</t>
  </si>
  <si>
    <t>Sales-order detail lines (gate items U501-OP, U701-OP).</t>
  </si>
  <si>
    <t>Compare</t>
  </si>
  <si>
    <t>Item</t>
  </si>
  <si>
    <t>OrderDate</t>
  </si>
  <si>
    <t>Order#</t>
  </si>
  <si>
    <t>Line#</t>
  </si>
  <si>
    <t>PromisedShip</t>
  </si>
  <si>
    <t>Customer</t>
  </si>
  <si>
    <t>NextStatus</t>
  </si>
  <si>
    <t>Qty</t>
  </si>
  <si>
    <t>PrimaryQty</t>
  </si>
  <si>
    <t>Lot#</t>
  </si>
  <si>
    <t>U501-OP</t>
  </si>
  <si>
    <t>CIN2</t>
  </si>
  <si>
    <t>2026-04-23</t>
  </si>
  <si>
    <t>2681222</t>
  </si>
  <si>
    <t>1</t>
  </si>
  <si>
    <t>2026-07-21</t>
  </si>
  <si>
    <t>AGY Aiken - Aiken, SC</t>
  </si>
  <si>
    <t>540</t>
  </si>
  <si>
    <t>41</t>
  </si>
  <si>
    <t>18450</t>
  </si>
  <si>
    <t>U701-OP</t>
  </si>
  <si>
    <t>2026-05-11</t>
  </si>
  <si>
    <t>2695060</t>
  </si>
  <si>
    <t>Johns Manville - Waterville, OH(River)</t>
  </si>
  <si>
    <t>40</t>
  </si>
  <si>
    <t>18000</t>
  </si>
  <si>
    <t>Inventory lots. Plant now trimmed in live model (LTRIM/RTRIM fix deployed + verified 2026-07-07); ties Cognos.</t>
  </si>
  <si>
    <t>OnHand</t>
  </si>
  <si>
    <t>Commit</t>
  </si>
  <si>
    <t>AVAIL</t>
  </si>
  <si>
    <t>Location</t>
  </si>
  <si>
    <t>Status</t>
  </si>
  <si>
    <t>450</t>
  </si>
  <si>
    <t>0</t>
  </si>
  <si>
    <t>F11</t>
  </si>
  <si>
    <t>4582014</t>
  </si>
  <si>
    <t>7650</t>
  </si>
  <si>
    <t>F42</t>
  </si>
  <si>
    <t>H01260500084D</t>
  </si>
  <si>
    <t>Per-item footer aggregates.</t>
  </si>
  <si>
    <t>SO_Lines</t>
  </si>
  <si>
    <t>Available_Total</t>
  </si>
  <si>
    <t>WO_Count</t>
  </si>
  <si>
    <t>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</si>
</sst>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ahoma"/>
    </font>
    <font>
      <sz val="10"/>
      <name val="Tahoma"/>
    </font>
    <font>
      <b/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5E5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showGridLines="0" topLeftCell="A3" workbookViewId="0">
      <selection activeCell="C28" sqref="C28"/>
    </sheetView>
  </sheetViews>
  <sheetFormatPr defaultRowHeight="15" x14ac:dyDescent="0.25"/>
  <cols>
    <col min="1" max="1" width="46" customWidth="1"/>
    <col min="3" max="4" width="46" customWidth="1"/>
  </cols>
  <sheetData>
    <row r="1" spans="1:4" ht="18" customHeight="1" x14ac:dyDescent="0.25">
      <c r="A1" s="1" t="s">
        <v>14</v>
      </c>
    </row>
    <row r="2" spans="1:4" x14ac:dyDescent="0.25">
      <c r="A2" s="2" t="s">
        <v>15</v>
      </c>
    </row>
    <row r="6" spans="1:4" x14ac:dyDescent="0.25">
      <c r="C6" s="3" t="s">
        <v>16</v>
      </c>
    </row>
    <row r="7" spans="1:4" x14ac:dyDescent="0.25">
      <c r="C7" s="2" t="s">
        <v>17</v>
      </c>
    </row>
    <row r="8" spans="1:4" x14ac:dyDescent="0.25">
      <c r="C8" s="2" t="s">
        <v>18</v>
      </c>
    </row>
    <row r="9" spans="1:4" x14ac:dyDescent="0.25">
      <c r="C9" s="2" t="s">
        <v>19</v>
      </c>
    </row>
    <row r="10" spans="1:4" x14ac:dyDescent="0.25">
      <c r="C10" s="2" t="s">
        <v>20</v>
      </c>
    </row>
    <row r="12" spans="1:4" x14ac:dyDescent="0.25">
      <c r="C12" s="3" t="s">
        <v>21</v>
      </c>
    </row>
    <row r="13" spans="1:4" x14ac:dyDescent="0.25">
      <c r="C13" s="2" t="s">
        <v>22</v>
      </c>
    </row>
    <row r="15" spans="1:4" x14ac:dyDescent="0.25">
      <c r="C15" s="3" t="s">
        <v>23</v>
      </c>
    </row>
    <row r="16" spans="1:4" x14ac:dyDescent="0.25">
      <c r="C16" s="2" t="s">
        <v>24</v>
      </c>
      <c r="D16" s="2" t="s">
        <v>25</v>
      </c>
    </row>
    <row r="17" spans="3:4" x14ac:dyDescent="0.25">
      <c r="C17" s="2" t="s">
        <v>4</v>
      </c>
      <c r="D17" s="2" t="s">
        <v>26</v>
      </c>
    </row>
    <row r="19" spans="3:4" x14ac:dyDescent="0.25">
      <c r="C19" s="3" t="s">
        <v>27</v>
      </c>
    </row>
    <row r="20" spans="3:4" x14ac:dyDescent="0.25">
      <c r="C20" s="2" t="s">
        <v>4</v>
      </c>
      <c r="D20" s="2" t="s">
        <v>26</v>
      </c>
    </row>
    <row r="21" spans="3:4" x14ac:dyDescent="0.25">
      <c r="D21" s="2" t="s">
        <v>28</v>
      </c>
    </row>
    <row r="22" spans="3:4" x14ac:dyDescent="0.25">
      <c r="C22" s="2" t="s">
        <v>29</v>
      </c>
      <c r="D22" s="2" t="s">
        <v>30</v>
      </c>
    </row>
    <row r="24" spans="3:4" x14ac:dyDescent="0.25">
      <c r="C24" s="3" t="s">
        <v>31</v>
      </c>
    </row>
    <row r="25" spans="3:4" x14ac:dyDescent="0.25">
      <c r="C25" s="2" t="s">
        <v>32</v>
      </c>
    </row>
    <row r="27" spans="3:4" x14ac:dyDescent="0.25">
      <c r="C27" s="2" t="s">
        <v>33</v>
      </c>
    </row>
    <row r="29" spans="3:4" x14ac:dyDescent="0.25">
      <c r="C29" s="2"/>
    </row>
    <row r="31" spans="3:4" x14ac:dyDescent="0.25">
      <c r="C31" s="2"/>
    </row>
    <row r="33" spans="3:3" ht="13.5" customHeight="1" x14ac:dyDescent="0.25">
      <c r="C33" s="2"/>
    </row>
    <row r="34" spans="3:3" hidden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1"/>
  <sheetViews>
    <sheetView showGridLines="0" workbookViewId="0">
      <pane ySplit="9" topLeftCell="A10" activePane="bottomLeft" state="frozen"/>
      <selection pane="bottomLeft" activeCell="A2" sqref="A2"/>
    </sheetView>
  </sheetViews>
  <sheetFormatPr defaultRowHeight="15" x14ac:dyDescent="0.25"/>
  <cols>
    <col min="1" max="1" width="46" customWidth="1"/>
    <col min="2" max="2" width="9" customWidth="1"/>
    <col min="3" max="3" width="12" customWidth="1"/>
    <col min="4" max="5" width="9" customWidth="1"/>
    <col min="6" max="6" width="14" customWidth="1"/>
    <col min="7" max="7" width="40" customWidth="1"/>
    <col min="8" max="8" width="12" customWidth="1"/>
    <col min="9" max="9" width="9" customWidth="1"/>
    <col min="10" max="10" width="12" customWidth="1"/>
    <col min="11" max="11" width="9" customWidth="1"/>
    <col min="13" max="14" width="9" customWidth="1"/>
    <col min="15" max="15" width="11" customWidth="1"/>
    <col min="16" max="17" width="9" customWidth="1"/>
    <col min="18" max="18" width="14" customWidth="1"/>
    <col min="19" max="19" width="10" customWidth="1"/>
    <col min="20" max="20" width="12" customWidth="1"/>
    <col min="21" max="21" width="9" customWidth="1"/>
    <col min="22" max="22" width="12" customWidth="1"/>
    <col min="23" max="23" width="9" customWidth="1"/>
    <col min="25" max="26" width="9" customWidth="1"/>
    <col min="27" max="27" width="12" customWidth="1"/>
    <col min="28" max="29" width="9" customWidth="1"/>
    <col min="30" max="30" width="14" customWidth="1"/>
    <col min="31" max="31" width="40" customWidth="1"/>
    <col min="32" max="32" width="12" customWidth="1"/>
    <col min="33" max="33" width="9" customWidth="1"/>
    <col min="34" max="34" width="12" customWidth="1"/>
    <col min="35" max="35" width="9" customWidth="1"/>
  </cols>
  <sheetData>
    <row r="1" spans="1:35" x14ac:dyDescent="0.25">
      <c r="A1" s="3" t="s">
        <v>34</v>
      </c>
    </row>
    <row r="2" spans="1:35" x14ac:dyDescent="0.25">
      <c r="A2" s="2" t="s">
        <v>35</v>
      </c>
    </row>
    <row r="4" spans="1:35" x14ac:dyDescent="0.25">
      <c r="A4" s="2" t="s">
        <v>36</v>
      </c>
    </row>
    <row r="7" spans="1:35" x14ac:dyDescent="0.25">
      <c r="A7" s="4" t="s">
        <v>4</v>
      </c>
      <c r="M7" s="4" t="s">
        <v>37</v>
      </c>
      <c r="Y7" s="4" t="s">
        <v>9</v>
      </c>
    </row>
    <row r="9" spans="1:35" x14ac:dyDescent="0.25">
      <c r="A9" s="5" t="s">
        <v>38</v>
      </c>
      <c r="B9" s="5" t="s">
        <v>10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43</v>
      </c>
      <c r="H9" s="5" t="s">
        <v>44</v>
      </c>
      <c r="I9" s="5" t="s">
        <v>45</v>
      </c>
      <c r="J9" s="5" t="s">
        <v>46</v>
      </c>
      <c r="K9" s="5" t="s">
        <v>47</v>
      </c>
      <c r="M9" s="5" t="s">
        <v>38</v>
      </c>
      <c r="N9" s="5" t="s">
        <v>10</v>
      </c>
      <c r="O9" s="5" t="s">
        <v>39</v>
      </c>
      <c r="P9" s="5" t="s">
        <v>40</v>
      </c>
      <c r="Q9" s="5" t="s">
        <v>41</v>
      </c>
      <c r="R9" s="5" t="s">
        <v>42</v>
      </c>
      <c r="S9" s="5" t="s">
        <v>43</v>
      </c>
      <c r="T9" s="5" t="s">
        <v>44</v>
      </c>
      <c r="U9" s="5" t="s">
        <v>45</v>
      </c>
      <c r="V9" s="5" t="s">
        <v>46</v>
      </c>
      <c r="W9" s="5" t="s">
        <v>47</v>
      </c>
      <c r="Y9" s="5" t="s">
        <v>38</v>
      </c>
      <c r="Z9" s="5" t="s">
        <v>10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</row>
    <row r="10" spans="1:35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56</v>
      </c>
      <c r="J10" s="2" t="s">
        <v>57</v>
      </c>
      <c r="K10" s="2"/>
      <c r="M10" s="2" t="b">
        <f t="shared" ref="M10:W11" si="0">A10=Y10</f>
        <v>1</v>
      </c>
      <c r="N10" s="2" t="b">
        <f t="shared" si="0"/>
        <v>1</v>
      </c>
      <c r="O10" s="2" t="b">
        <f t="shared" si="0"/>
        <v>1</v>
      </c>
      <c r="P10" s="2" t="b">
        <f t="shared" si="0"/>
        <v>1</v>
      </c>
      <c r="Q10" s="2" t="b">
        <f t="shared" si="0"/>
        <v>1</v>
      </c>
      <c r="R10" s="2" t="b">
        <f t="shared" si="0"/>
        <v>1</v>
      </c>
      <c r="S10" s="2" t="b">
        <f t="shared" si="0"/>
        <v>1</v>
      </c>
      <c r="T10" s="2" t="b">
        <f t="shared" si="0"/>
        <v>1</v>
      </c>
      <c r="U10" s="2" t="b">
        <f t="shared" si="0"/>
        <v>1</v>
      </c>
      <c r="V10" s="2" t="b">
        <f t="shared" si="0"/>
        <v>1</v>
      </c>
      <c r="W10" s="2" t="b">
        <f t="shared" si="0"/>
        <v>1</v>
      </c>
      <c r="Y10" s="2" t="s">
        <v>48</v>
      </c>
      <c r="Z10" s="2" t="s">
        <v>49</v>
      </c>
      <c r="AA10" s="2" t="s">
        <v>50</v>
      </c>
      <c r="AB10" s="2" t="s">
        <v>51</v>
      </c>
      <c r="AC10" s="2" t="s">
        <v>52</v>
      </c>
      <c r="AD10" s="2" t="s">
        <v>53</v>
      </c>
      <c r="AE10" s="2" t="s">
        <v>54</v>
      </c>
      <c r="AF10" s="2" t="s">
        <v>55</v>
      </c>
      <c r="AG10" s="2" t="s">
        <v>56</v>
      </c>
      <c r="AH10" s="2" t="s">
        <v>57</v>
      </c>
      <c r="AI10" s="2"/>
    </row>
    <row r="11" spans="1:35" x14ac:dyDescent="0.25">
      <c r="A11" s="2" t="s">
        <v>58</v>
      </c>
      <c r="B11" s="2" t="s">
        <v>49</v>
      </c>
      <c r="C11" s="2" t="s">
        <v>59</v>
      </c>
      <c r="D11" s="2" t="s">
        <v>60</v>
      </c>
      <c r="E11" s="2" t="s">
        <v>52</v>
      </c>
      <c r="F11" s="2" t="s">
        <v>53</v>
      </c>
      <c r="G11" s="2" t="s">
        <v>61</v>
      </c>
      <c r="H11" s="2" t="s">
        <v>55</v>
      </c>
      <c r="I11" s="2" t="s">
        <v>62</v>
      </c>
      <c r="J11" s="2" t="s">
        <v>63</v>
      </c>
      <c r="K11" s="2"/>
      <c r="M11" s="2" t="b">
        <f t="shared" si="0"/>
        <v>1</v>
      </c>
      <c r="N11" s="2" t="b">
        <f t="shared" si="0"/>
        <v>1</v>
      </c>
      <c r="O11" s="2" t="b">
        <f t="shared" si="0"/>
        <v>1</v>
      </c>
      <c r="P11" s="2" t="b">
        <f t="shared" si="0"/>
        <v>1</v>
      </c>
      <c r="Q11" s="2" t="b">
        <f t="shared" si="0"/>
        <v>1</v>
      </c>
      <c r="R11" s="2" t="b">
        <f t="shared" si="0"/>
        <v>1</v>
      </c>
      <c r="S11" s="2" t="b">
        <f t="shared" si="0"/>
        <v>1</v>
      </c>
      <c r="T11" s="2" t="b">
        <f t="shared" si="0"/>
        <v>1</v>
      </c>
      <c r="U11" s="2" t="b">
        <f t="shared" si="0"/>
        <v>1</v>
      </c>
      <c r="V11" s="2" t="b">
        <f t="shared" si="0"/>
        <v>1</v>
      </c>
      <c r="W11" s="2" t="b">
        <f t="shared" si="0"/>
        <v>1</v>
      </c>
      <c r="Y11" s="2" t="s">
        <v>58</v>
      </c>
      <c r="Z11" s="2" t="s">
        <v>49</v>
      </c>
      <c r="AA11" s="2" t="s">
        <v>59</v>
      </c>
      <c r="AB11" s="2" t="s">
        <v>60</v>
      </c>
      <c r="AC11" s="2" t="s">
        <v>52</v>
      </c>
      <c r="AD11" s="2" t="s">
        <v>53</v>
      </c>
      <c r="AE11" s="2" t="s">
        <v>61</v>
      </c>
      <c r="AF11" s="2" t="s">
        <v>55</v>
      </c>
      <c r="AG11" s="2" t="s">
        <v>62</v>
      </c>
      <c r="AH11" s="2" t="s">
        <v>63</v>
      </c>
      <c r="AI1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5" width="9" customWidth="1"/>
    <col min="6" max="6" width="10" customWidth="1"/>
    <col min="7" max="7" width="15" customWidth="1"/>
    <col min="8" max="8" width="9" customWidth="1"/>
    <col min="10" max="14" width="9" customWidth="1"/>
    <col min="15" max="15" width="10" customWidth="1"/>
    <col min="16" max="17" width="9" customWidth="1"/>
    <col min="19" max="23" width="9" customWidth="1"/>
    <col min="24" max="24" width="10" customWidth="1"/>
    <col min="25" max="25" width="15" customWidth="1"/>
    <col min="26" max="26" width="9" customWidth="1"/>
  </cols>
  <sheetData>
    <row r="1" spans="1:26" x14ac:dyDescent="0.25">
      <c r="A1" s="3" t="s">
        <v>34</v>
      </c>
    </row>
    <row r="2" spans="1:26" x14ac:dyDescent="0.25">
      <c r="A2" s="2" t="s">
        <v>35</v>
      </c>
    </row>
    <row r="4" spans="1:26" x14ac:dyDescent="0.25">
      <c r="A4" s="2" t="s">
        <v>64</v>
      </c>
    </row>
    <row r="7" spans="1:26" x14ac:dyDescent="0.25">
      <c r="A7" s="4" t="s">
        <v>4</v>
      </c>
      <c r="J7" s="4" t="s">
        <v>37</v>
      </c>
      <c r="S7" s="4" t="s">
        <v>9</v>
      </c>
    </row>
    <row r="9" spans="1:26" x14ac:dyDescent="0.25">
      <c r="A9" s="5" t="s">
        <v>38</v>
      </c>
      <c r="B9" s="5" t="s">
        <v>10</v>
      </c>
      <c r="C9" s="5" t="s">
        <v>65</v>
      </c>
      <c r="D9" s="5" t="s">
        <v>66</v>
      </c>
      <c r="E9" s="5" t="s">
        <v>67</v>
      </c>
      <c r="F9" s="5" t="s">
        <v>68</v>
      </c>
      <c r="G9" s="5" t="s">
        <v>47</v>
      </c>
      <c r="H9" s="5" t="s">
        <v>69</v>
      </c>
      <c r="J9" s="5" t="s">
        <v>38</v>
      </c>
      <c r="K9" s="5" t="s">
        <v>10</v>
      </c>
      <c r="L9" s="5" t="s">
        <v>65</v>
      </c>
      <c r="M9" s="5" t="s">
        <v>66</v>
      </c>
      <c r="N9" s="5" t="s">
        <v>67</v>
      </c>
      <c r="O9" s="5" t="s">
        <v>68</v>
      </c>
      <c r="P9" s="5" t="s">
        <v>47</v>
      </c>
      <c r="Q9" s="5" t="s">
        <v>69</v>
      </c>
      <c r="S9" s="5" t="s">
        <v>38</v>
      </c>
      <c r="T9" s="5" t="s">
        <v>10</v>
      </c>
      <c r="U9" s="5" t="s">
        <v>65</v>
      </c>
      <c r="V9" s="5" t="s">
        <v>66</v>
      </c>
      <c r="W9" s="5" t="s">
        <v>67</v>
      </c>
      <c r="X9" s="5" t="s">
        <v>68</v>
      </c>
      <c r="Y9" s="5" t="s">
        <v>47</v>
      </c>
      <c r="Z9" s="5" t="s">
        <v>69</v>
      </c>
    </row>
    <row r="10" spans="1:26" x14ac:dyDescent="0.25">
      <c r="A10" s="2" t="s">
        <v>58</v>
      </c>
      <c r="B10" s="2" t="s">
        <v>49</v>
      </c>
      <c r="C10" s="2" t="s">
        <v>70</v>
      </c>
      <c r="D10" s="2" t="s">
        <v>71</v>
      </c>
      <c r="E10" s="2" t="s">
        <v>70</v>
      </c>
      <c r="F10" s="2" t="s">
        <v>72</v>
      </c>
      <c r="G10" s="2" t="s">
        <v>73</v>
      </c>
      <c r="H10" s="2"/>
      <c r="J10" s="2" t="b">
        <f t="shared" ref="J10:Q11" si="0">A10=S10</f>
        <v>1</v>
      </c>
      <c r="K10" s="2" t="b">
        <f t="shared" si="0"/>
        <v>1</v>
      </c>
      <c r="L10" s="2" t="b">
        <f t="shared" si="0"/>
        <v>1</v>
      </c>
      <c r="M10" s="2" t="b">
        <f t="shared" si="0"/>
        <v>1</v>
      </c>
      <c r="N10" s="2" t="b">
        <f t="shared" si="0"/>
        <v>1</v>
      </c>
      <c r="O10" s="2" t="b">
        <f t="shared" si="0"/>
        <v>1</v>
      </c>
      <c r="P10" s="2" t="b">
        <f t="shared" si="0"/>
        <v>1</v>
      </c>
      <c r="Q10" s="2" t="b">
        <f t="shared" si="0"/>
        <v>1</v>
      </c>
      <c r="S10" s="2" t="s">
        <v>58</v>
      </c>
      <c r="T10" s="2" t="s">
        <v>49</v>
      </c>
      <c r="U10" s="2" t="s">
        <v>70</v>
      </c>
      <c r="V10" s="2" t="s">
        <v>71</v>
      </c>
      <c r="W10" s="2" t="s">
        <v>70</v>
      </c>
      <c r="X10" s="2" t="s">
        <v>72</v>
      </c>
      <c r="Y10" s="2" t="s">
        <v>73</v>
      </c>
      <c r="Z10" s="2"/>
    </row>
    <row r="11" spans="1:26" x14ac:dyDescent="0.25">
      <c r="A11" s="2" t="s">
        <v>58</v>
      </c>
      <c r="B11" s="2" t="s">
        <v>49</v>
      </c>
      <c r="C11" s="2" t="s">
        <v>74</v>
      </c>
      <c r="D11" s="2" t="s">
        <v>71</v>
      </c>
      <c r="E11" s="2" t="s">
        <v>74</v>
      </c>
      <c r="F11" s="2" t="s">
        <v>75</v>
      </c>
      <c r="G11" s="2" t="s">
        <v>76</v>
      </c>
      <c r="H11" s="2"/>
      <c r="J11" s="2" t="b">
        <f t="shared" si="0"/>
        <v>1</v>
      </c>
      <c r="K11" s="2" t="b">
        <f t="shared" si="0"/>
        <v>1</v>
      </c>
      <c r="L11" s="2" t="b">
        <f t="shared" si="0"/>
        <v>1</v>
      </c>
      <c r="M11" s="2" t="b">
        <f t="shared" si="0"/>
        <v>1</v>
      </c>
      <c r="N11" s="2" t="b">
        <f t="shared" si="0"/>
        <v>1</v>
      </c>
      <c r="O11" s="2" t="b">
        <f t="shared" si="0"/>
        <v>1</v>
      </c>
      <c r="P11" s="2" t="b">
        <f t="shared" si="0"/>
        <v>1</v>
      </c>
      <c r="Q11" s="2" t="b">
        <f t="shared" si="0"/>
        <v>1</v>
      </c>
      <c r="S11" s="2" t="s">
        <v>58</v>
      </c>
      <c r="T11" s="2" t="s">
        <v>49</v>
      </c>
      <c r="U11" s="2" t="s">
        <v>74</v>
      </c>
      <c r="V11" s="2" t="s">
        <v>71</v>
      </c>
      <c r="W11" s="2" t="s">
        <v>74</v>
      </c>
      <c r="X11" s="2" t="s">
        <v>75</v>
      </c>
      <c r="Y11" s="2" t="s">
        <v>76</v>
      </c>
      <c r="Z1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29" customWidth="1"/>
    <col min="2" max="2" width="10" customWidth="1"/>
    <col min="3" max="3" width="16" customWidth="1"/>
    <col min="4" max="4" width="17" customWidth="1"/>
    <col min="5" max="5" width="10" customWidth="1"/>
    <col min="6" max="6" width="9" customWidth="1"/>
    <col min="8" max="8" width="9" customWidth="1"/>
    <col min="9" max="9" width="10" customWidth="1"/>
    <col min="10" max="10" width="16" customWidth="1"/>
    <col min="11" max="11" width="17" customWidth="1"/>
    <col min="12" max="12" width="10" customWidth="1"/>
    <col min="13" max="13" width="9" customWidth="1"/>
    <col min="15" max="15" width="9" customWidth="1"/>
    <col min="16" max="16" width="10" customWidth="1"/>
    <col min="17" max="17" width="16" customWidth="1"/>
    <col min="18" max="18" width="17" customWidth="1"/>
    <col min="19" max="19" width="10" customWidth="1"/>
    <col min="20" max="20" width="9" customWidth="1"/>
  </cols>
  <sheetData>
    <row r="1" spans="1:20" x14ac:dyDescent="0.25">
      <c r="A1" s="3" t="s">
        <v>34</v>
      </c>
    </row>
    <row r="2" spans="1:20" x14ac:dyDescent="0.25">
      <c r="A2" s="2" t="s">
        <v>35</v>
      </c>
    </row>
    <row r="4" spans="1:20" x14ac:dyDescent="0.25">
      <c r="A4" s="2" t="s">
        <v>77</v>
      </c>
    </row>
    <row r="7" spans="1:20" x14ac:dyDescent="0.25">
      <c r="A7" s="4" t="s">
        <v>4</v>
      </c>
      <c r="H7" s="4" t="s">
        <v>37</v>
      </c>
      <c r="O7" s="4" t="s">
        <v>9</v>
      </c>
    </row>
    <row r="9" spans="1:20" x14ac:dyDescent="0.25">
      <c r="A9" s="5" t="s">
        <v>38</v>
      </c>
      <c r="B9" s="5" t="s">
        <v>78</v>
      </c>
      <c r="C9" s="5" t="s">
        <v>7</v>
      </c>
      <c r="D9" s="5" t="s">
        <v>79</v>
      </c>
      <c r="E9" s="5" t="s">
        <v>80</v>
      </c>
      <c r="F9" s="5" t="s">
        <v>8</v>
      </c>
      <c r="H9" s="5" t="s">
        <v>38</v>
      </c>
      <c r="I9" s="5" t="s">
        <v>78</v>
      </c>
      <c r="J9" s="5" t="s">
        <v>7</v>
      </c>
      <c r="K9" s="5" t="s">
        <v>79</v>
      </c>
      <c r="L9" s="5" t="s">
        <v>80</v>
      </c>
      <c r="M9" s="5" t="s">
        <v>8</v>
      </c>
      <c r="O9" s="5" t="s">
        <v>38</v>
      </c>
      <c r="P9" s="5" t="s">
        <v>78</v>
      </c>
      <c r="Q9" s="5" t="s">
        <v>7</v>
      </c>
      <c r="R9" s="5" t="s">
        <v>79</v>
      </c>
      <c r="S9" s="5" t="s">
        <v>80</v>
      </c>
      <c r="T9" s="5" t="s">
        <v>8</v>
      </c>
    </row>
    <row r="10" spans="1:20" x14ac:dyDescent="0.25">
      <c r="A10" s="2" t="s">
        <v>48</v>
      </c>
      <c r="B10" s="2" t="s">
        <v>52</v>
      </c>
      <c r="C10" s="2" t="s">
        <v>57</v>
      </c>
      <c r="D10" s="2"/>
      <c r="E10" s="2" t="s">
        <v>71</v>
      </c>
      <c r="F10" s="2"/>
      <c r="H10" s="2" t="b">
        <f t="shared" ref="H10:M11" si="0">A10=O10</f>
        <v>1</v>
      </c>
      <c r="I10" s="2" t="b">
        <f t="shared" si="0"/>
        <v>1</v>
      </c>
      <c r="J10" s="2" t="b">
        <f t="shared" si="0"/>
        <v>1</v>
      </c>
      <c r="K10" s="2" t="b">
        <f t="shared" si="0"/>
        <v>1</v>
      </c>
      <c r="L10" s="6" t="b">
        <f t="shared" si="0"/>
        <v>0</v>
      </c>
      <c r="M10" s="2" t="b">
        <f t="shared" si="0"/>
        <v>1</v>
      </c>
      <c r="O10" s="2" t="s">
        <v>48</v>
      </c>
      <c r="P10" s="2" t="s">
        <v>52</v>
      </c>
      <c r="Q10" s="2" t="s">
        <v>57</v>
      </c>
      <c r="R10" s="2"/>
      <c r="S10" s="2"/>
      <c r="T10" s="2"/>
    </row>
    <row r="11" spans="1:20" x14ac:dyDescent="0.25">
      <c r="A11" s="2" t="s">
        <v>58</v>
      </c>
      <c r="B11" s="2" t="s">
        <v>52</v>
      </c>
      <c r="C11" s="2" t="s">
        <v>63</v>
      </c>
      <c r="D11" s="2" t="s">
        <v>81</v>
      </c>
      <c r="E11" s="2" t="s">
        <v>71</v>
      </c>
      <c r="F11" s="2"/>
      <c r="H11" s="2" t="b">
        <f t="shared" si="0"/>
        <v>1</v>
      </c>
      <c r="I11" s="2" t="b">
        <f t="shared" si="0"/>
        <v>1</v>
      </c>
      <c r="J11" s="2" t="b">
        <f t="shared" si="0"/>
        <v>1</v>
      </c>
      <c r="K11" s="2" t="b">
        <f t="shared" si="0"/>
        <v>1</v>
      </c>
      <c r="L11" s="6" t="b">
        <f t="shared" si="0"/>
        <v>0</v>
      </c>
      <c r="M11" s="2" t="b">
        <f t="shared" si="0"/>
        <v>1</v>
      </c>
      <c r="O11" s="2" t="s">
        <v>58</v>
      </c>
      <c r="P11" s="2" t="s">
        <v>52</v>
      </c>
      <c r="Q11" s="2" t="s">
        <v>63</v>
      </c>
      <c r="R11" s="2" t="s">
        <v>81</v>
      </c>
      <c r="S11" s="2"/>
      <c r="T1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showGridLines="0" tabSelected="1" workbookViewId="0">
      <selection activeCell="B24" sqref="B24"/>
    </sheetView>
  </sheetViews>
  <sheetFormatPr defaultRowHeight="15" x14ac:dyDescent="0.25"/>
  <cols>
    <col min="1" max="1" width="46" customWidth="1"/>
    <col min="2" max="2" width="27" customWidth="1"/>
    <col min="3" max="3" width="46" customWidth="1"/>
    <col min="4" max="4" width="16" customWidth="1"/>
    <col min="5" max="5" width="14" customWidth="1"/>
  </cols>
  <sheetData>
    <row r="1" spans="1:5" x14ac:dyDescent="0.25">
      <c r="A1" s="3" t="s">
        <v>0</v>
      </c>
      <c r="B1" s="3" t="s">
        <v>1</v>
      </c>
    </row>
    <row r="2" spans="1:5" x14ac:dyDescent="0.25">
      <c r="A2" s="2" t="s">
        <v>2</v>
      </c>
    </row>
    <row r="4" spans="1:5" x14ac:dyDescent="0.25">
      <c r="A4" s="3" t="s">
        <v>3</v>
      </c>
    </row>
    <row r="5" spans="1:5" x14ac:dyDescent="0.25">
      <c r="A5" s="2" t="s">
        <v>2</v>
      </c>
    </row>
    <row r="9" spans="1:5" x14ac:dyDescent="0.25">
      <c r="A9" s="3" t="s">
        <v>4</v>
      </c>
      <c r="B9" s="2" t="s">
        <v>5</v>
      </c>
      <c r="C9" s="2" t="s">
        <v>6</v>
      </c>
      <c r="D9" s="2" t="s">
        <v>7</v>
      </c>
      <c r="E9" s="2" t="s">
        <v>8</v>
      </c>
    </row>
    <row r="10" spans="1:5" x14ac:dyDescent="0.25">
      <c r="A10" s="3" t="s">
        <v>9</v>
      </c>
      <c r="B10" s="2" t="s">
        <v>10</v>
      </c>
      <c r="C10" s="2" t="s">
        <v>11</v>
      </c>
      <c r="D10" s="2" t="s">
        <v>12</v>
      </c>
      <c r="E10" s="2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BC77718D-5C59-4C84-8A24-4201CCAFEC95}"/>
</file>

<file path=customXml/itemProps2.xml><?xml version="1.0" encoding="utf-8"?>
<ds:datastoreItem xmlns:ds="http://schemas.openxmlformats.org/officeDocument/2006/customXml" ds:itemID="{9E20B0E3-835E-42C3-BDD7-54606799079F}"/>
</file>

<file path=customXml/itemProps3.xml><?xml version="1.0" encoding="utf-8"?>
<ds:datastoreItem xmlns:ds="http://schemas.openxmlformats.org/officeDocument/2006/customXml" ds:itemID="{0EDB18BD-8413-401A-8BFA-E063639B53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Comparison - Sales Orders</vt:lpstr>
      <vt:lpstr>Comparison - Inventory</vt:lpstr>
      <vt:lpstr>Comparison - Subtotals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2026-07-07T14:36:54Z</dcterms:created>
  <dcterms:modified xsi:type="dcterms:W3CDTF">2026-07-10T16:12:19Z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