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019F817D-B93E-46CB-8F58-C3BCCA7110CA}" xr6:coauthVersionLast="47" xr6:coauthVersionMax="47" xr10:uidLastSave="{00000000-0000-0000-0000-000000000000}"/>
  <bookViews>
    <workbookView xWindow="-120" yWindow="-120" windowWidth="29040" windowHeight="15720" activeTab="1" xr2:uid="{A409B26B-6AA7-4B86-B9DC-931858BD08EA}"/>
  </bookViews>
  <sheets>
    <sheet name="Notes" sheetId="1" r:id="rId1"/>
    <sheet name="Comparison" sheetId="2" r:id="rId2"/>
    <sheet name="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29" i="2" l="1"/>
  <c r="V29" i="2" s="1"/>
  <c r="AH28" i="2"/>
  <c r="V28" i="2" s="1"/>
  <c r="AH27" i="2"/>
  <c r="V27" i="2" s="1"/>
  <c r="AH26" i="2"/>
  <c r="V26" i="2" s="1"/>
  <c r="AH24" i="2"/>
  <c r="V24" i="2" s="1"/>
  <c r="AH23" i="2"/>
  <c r="V23" i="2" s="1"/>
  <c r="AH22" i="2"/>
  <c r="V22" i="2" s="1"/>
  <c r="AH20" i="2"/>
  <c r="V20" i="2" s="1"/>
  <c r="AH19" i="2"/>
  <c r="V19" i="2" s="1"/>
  <c r="AH18" i="2"/>
  <c r="V18" i="2" s="1"/>
  <c r="AH16" i="2"/>
  <c r="V16" i="2" s="1"/>
  <c r="AH15" i="2"/>
  <c r="V15" i="2" s="1"/>
  <c r="AH14" i="2"/>
  <c r="V14" i="2" s="1"/>
  <c r="AH12" i="2"/>
  <c r="V12" i="2" s="1"/>
  <c r="AH11" i="2"/>
  <c r="V11" i="2" s="1"/>
  <c r="W25" i="2"/>
  <c r="V25" i="2"/>
  <c r="U25" i="2"/>
  <c r="T25" i="2"/>
  <c r="S25" i="2"/>
  <c r="R25" i="2"/>
  <c r="Q25" i="2"/>
  <c r="P25" i="2"/>
  <c r="O25" i="2"/>
  <c r="N25" i="2"/>
  <c r="M25" i="2"/>
  <c r="W21" i="2"/>
  <c r="V21" i="2"/>
  <c r="U21" i="2"/>
  <c r="T21" i="2"/>
  <c r="S21" i="2"/>
  <c r="R21" i="2"/>
  <c r="Q21" i="2"/>
  <c r="P21" i="2"/>
  <c r="O21" i="2"/>
  <c r="N21" i="2"/>
  <c r="M21" i="2"/>
  <c r="W17" i="2"/>
  <c r="V17" i="2"/>
  <c r="U17" i="2"/>
  <c r="T17" i="2"/>
  <c r="S17" i="2"/>
  <c r="R17" i="2"/>
  <c r="Q17" i="2"/>
  <c r="P17" i="2"/>
  <c r="O17" i="2"/>
  <c r="N17" i="2"/>
  <c r="M17" i="2"/>
  <c r="W13" i="2"/>
  <c r="V13" i="2"/>
  <c r="U13" i="2"/>
  <c r="T13" i="2"/>
  <c r="S13" i="2"/>
  <c r="R13" i="2"/>
  <c r="Q13" i="2"/>
  <c r="P13" i="2"/>
  <c r="O13" i="2"/>
  <c r="N13" i="2"/>
  <c r="M13" i="2"/>
  <c r="W10" i="2"/>
  <c r="V10" i="2"/>
  <c r="U10" i="2"/>
  <c r="T10" i="2"/>
  <c r="S10" i="2"/>
  <c r="R10" i="2"/>
  <c r="Q10" i="2"/>
  <c r="P10" i="2"/>
  <c r="O10" i="2"/>
  <c r="N10" i="2"/>
  <c r="M10" i="2"/>
</calcChain>
</file>

<file path=xl/sharedStrings.xml><?xml version="1.0" encoding="utf-8"?>
<sst xmlns="http://schemas.openxmlformats.org/spreadsheetml/2006/main" count="155" uniqueCount="76">
  <si>
    <t>Cognos Migration - Report ID 142 - LTL report over 20k lbs</t>
  </si>
  <si>
    <t>Data revised 7/16/2026</t>
  </si>
  <si>
    <t>Cognos filters</t>
  </si>
  <si>
    <t>ODS PRODDTA F4211 open order lines. INNER F0101 ship-to (ABALPH = Customer Name); LEFT F0101 carrier (SDCARS -&gt; name); LEFT F42140 CMRTYPE='CSR' on ship-to CMAN8 -&gt; CSR name via F0101.</t>
  </si>
  <si>
    <t>Static filters: Order Co SDKCOO='00010'; SDDCTO in S4/S5/SZ/SC/ST; Next Status SDNXTR in 525/530/535/540/545/550/560; SDCARS not in 23 hard-coded carriers (incl &lt;&gt;308636); per-row SDPQOR/10000 &gt; 20000.</t>
  </si>
  <si>
    <t>Decodes: SDPDDJ Julian -&gt; date (JUL2DATE); SDPQOR/10000 = Primary Qty Ordered; SDLNID/1000 = Order Line. '- Total' rows = AVERAGE (legacy Query1 Average() re-wrap), kept as average in PBI matrix for parity (Dave Bubash 2026-07-16), not sum.</t>
  </si>
  <si>
    <t>Cognos Report</t>
  </si>
  <si>
    <t>As of 7/16/2026</t>
  </si>
  <si>
    <t>Sorted by Scheduled Pick Date, Carrier, Customer. Business key (Order Number, Order Line). Matched 5; Cognos-only 0; PBI-only 0. Group '- Total' rows compared on Avg quantity. Single FALSE = order 2744344 Next Status 535 vs 530 (24-min live drift; see RS).</t>
  </si>
  <si>
    <t>Cognos</t>
  </si>
  <si>
    <t>Compare</t>
  </si>
  <si>
    <t>PBI</t>
  </si>
  <si>
    <t>Sched Pick</t>
  </si>
  <si>
    <t>Carrier AB</t>
  </si>
  <si>
    <t>Customer</t>
  </si>
  <si>
    <t>Order</t>
  </si>
  <si>
    <t>Next</t>
  </si>
  <si>
    <t>Type</t>
  </si>
  <si>
    <t>Line</t>
  </si>
  <si>
    <t>Carrier</t>
  </si>
  <si>
    <t>CSR</t>
  </si>
  <si>
    <t>Qty</t>
  </si>
  <si>
    <t>UOM</t>
  </si>
  <si>
    <t xml:space="preserve">Huhtamaki - Franklin, OH                </t>
  </si>
  <si>
    <t>S4</t>
  </si>
  <si>
    <t xml:space="preserve">Rush Expediting                         </t>
  </si>
  <si>
    <t xml:space="preserve">Dowd, Stephen                           </t>
  </si>
  <si>
    <t>LB</t>
  </si>
  <si>
    <t>Huhtamaki - Franklin, OH</t>
  </si>
  <si>
    <t>Rush Expediting</t>
  </si>
  <si>
    <t>Dowd, Stephen</t>
  </si>
  <si>
    <t xml:space="preserve">Spartan Chemical - Maumee, OH           </t>
  </si>
  <si>
    <t xml:space="preserve">Total Quality Logistics (bulk)          </t>
  </si>
  <si>
    <t>Spartan Chemical - Maumee, OH</t>
  </si>
  <si>
    <t>Total Quality Logistics (bulk)</t>
  </si>
  <si>
    <t xml:space="preserve">Solenis (Diversey) - Florence, KY       </t>
  </si>
  <si>
    <t>Solenis (Diversey) - Florence, KY</t>
  </si>
  <si>
    <t xml:space="preserve">Premier Ink Systems - Harrison, OH      </t>
  </si>
  <si>
    <t xml:space="preserve">Sifuentes, David                        </t>
  </si>
  <si>
    <t>Premier Ink Systems - Harrison, OH</t>
  </si>
  <si>
    <t>Sifuentes, David</t>
  </si>
  <si>
    <t>Huhtamaki - Franklin, OH                 - Total</t>
  </si>
  <si>
    <t>26166 - Total</t>
  </si>
  <si>
    <t>Spartan Chemical - Maumee, OH            - Total</t>
  </si>
  <si>
    <t>359693 - Total</t>
  </si>
  <si>
    <t>Jul 20, 2026 12:00:00 AM - Total</t>
  </si>
  <si>
    <t>Solenis (Diversey) - Florence, KY        - Total</t>
  </si>
  <si>
    <t>Jul 27, 2026 12:00:00 AM - Total</t>
  </si>
  <si>
    <t>Premier Ink Systems - Harrison, OH       - Total</t>
  </si>
  <si>
    <t>Jul 29, 2026 12:00:00 AM - Total</t>
  </si>
  <si>
    <t>Aug 11, 2026 12:00:00 AM - Total</t>
  </si>
  <si>
    <t>Overall - Total</t>
  </si>
  <si>
    <t>LTL over 20k  -  key: Order Number, Order Line</t>
  </si>
  <si>
    <t>in Cognos but not in PBI</t>
  </si>
  <si>
    <t>reason</t>
  </si>
  <si>
    <t>(none)</t>
  </si>
  <si>
    <t>in PBI but not in Cognos</t>
  </si>
  <si>
    <t>FALSE cells on matched rows</t>
  </si>
  <si>
    <t>order | line</t>
  </si>
  <si>
    <t>column(s)</t>
  </si>
  <si>
    <t>2744344 | 1</t>
  </si>
  <si>
    <t>Next Status</t>
  </si>
  <si>
    <t>PBI 530 (refresh 09:17) -&gt; Cognos 535 (export 09:41): Next Status advanced in the 24-min gap; both values within report status filter 525-560 - live drift, not a defect.</t>
  </si>
  <si>
    <t>Slicers</t>
  </si>
  <si>
    <t>Links</t>
  </si>
  <si>
    <t>Power BI</t>
  </si>
  <si>
    <t>Michelman Reporting &gt; Customer Service</t>
  </si>
  <si>
    <t>Report Location</t>
  </si>
  <si>
    <t>ODS</t>
  </si>
  <si>
    <t>Comments</t>
  </si>
  <si>
    <t>Scheduled Pick Date compared as real date both sides (Cognos renders text 'Mon d, yyyy'); group-repeated date filled on every detail row. Total rows compare the Avg quantity only.</t>
  </si>
  <si>
    <t>CSR Name dropdown (burst replacement - Cognos bursts one slice per CSR to directory accounts; slicer chosen over RLS/subscriptions).</t>
  </si>
  <si>
    <t>Michelman - Validation (Sales Order)</t>
  </si>
  <si>
    <t>Note report uses JDE live data (ODS)</t>
  </si>
  <si>
    <t>LTL Report Over 20k lbs.pbip (1 page, grouped matrix + CSR Name slicer + Last Refreshed card)</t>
  </si>
  <si>
    <t>VERDICT: PASSES - 5/5 detail rows exact vs 2026-07-16 Cognos export; exactly 1 FALSE = order 2744344 Next Status 535 vs 530 (live drift, both values in the status filter); '- Total' rows tie under AVERAGE (Jul 20 = 32,800, Overall = 38,820 - legacy Average() re-wrap kept per Dave Bubash ruling).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</si>
</sst>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4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3" fontId="0" fillId="0" borderId="0" xfId="0" applyNumberFormat="1"/>
    <xf numFmtId="0" fontId="2" fillId="0" borderId="0" xfId="0" applyFont="1"/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C9D3-AA6C-4DC1-843A-94AF57B317C7}">
  <dimension ref="A1:D25"/>
  <sheetViews>
    <sheetView workbookViewId="0"/>
  </sheetViews>
  <sheetFormatPr defaultRowHeight="12.75" x14ac:dyDescent="0.2"/>
  <cols>
    <col min="1" max="1" width="46" style="5" customWidth="1"/>
    <col min="2" max="2" width="9.140625" style="5"/>
    <col min="3" max="4" width="46" style="5" customWidth="1"/>
    <col min="5" max="16384" width="9.140625" style="5"/>
  </cols>
  <sheetData>
    <row r="1" spans="1:4" ht="18" x14ac:dyDescent="0.2">
      <c r="A1" s="6" t="s">
        <v>0</v>
      </c>
    </row>
    <row r="2" spans="1:4" x14ac:dyDescent="0.2">
      <c r="A2" s="7" t="s">
        <v>1</v>
      </c>
    </row>
    <row r="6" spans="1:4" x14ac:dyDescent="0.2">
      <c r="C6" s="8" t="s">
        <v>2</v>
      </c>
    </row>
    <row r="7" spans="1:4" x14ac:dyDescent="0.2">
      <c r="C7" s="7" t="s">
        <v>3</v>
      </c>
    </row>
    <row r="8" spans="1:4" x14ac:dyDescent="0.2">
      <c r="C8" s="7" t="s">
        <v>4</v>
      </c>
    </row>
    <row r="9" spans="1:4" x14ac:dyDescent="0.2">
      <c r="C9" s="7" t="s">
        <v>5</v>
      </c>
    </row>
    <row r="10" spans="1:4" x14ac:dyDescent="0.2">
      <c r="C10" s="7" t="s">
        <v>70</v>
      </c>
    </row>
    <row r="12" spans="1:4" x14ac:dyDescent="0.2">
      <c r="C12" s="8" t="s">
        <v>63</v>
      </c>
    </row>
    <row r="13" spans="1:4" x14ac:dyDescent="0.2">
      <c r="C13" s="7" t="s">
        <v>71</v>
      </c>
    </row>
    <row r="15" spans="1:4" x14ac:dyDescent="0.2">
      <c r="C15" s="8" t="s">
        <v>64</v>
      </c>
    </row>
    <row r="16" spans="1:4" x14ac:dyDescent="0.2">
      <c r="C16" s="7" t="s">
        <v>65</v>
      </c>
      <c r="D16" s="7" t="s">
        <v>72</v>
      </c>
    </row>
    <row r="17" spans="3:4" x14ac:dyDescent="0.2">
      <c r="C17" s="7" t="s">
        <v>9</v>
      </c>
      <c r="D17" s="7" t="s">
        <v>66</v>
      </c>
    </row>
    <row r="19" spans="3:4" x14ac:dyDescent="0.2">
      <c r="C19" s="8" t="s">
        <v>67</v>
      </c>
    </row>
    <row r="20" spans="3:4" x14ac:dyDescent="0.2">
      <c r="C20" s="7" t="s">
        <v>9</v>
      </c>
      <c r="D20" s="7" t="s">
        <v>66</v>
      </c>
    </row>
    <row r="21" spans="3:4" x14ac:dyDescent="0.2">
      <c r="D21" s="7" t="s">
        <v>73</v>
      </c>
    </row>
    <row r="22" spans="3:4" x14ac:dyDescent="0.2">
      <c r="C22" s="7" t="s">
        <v>68</v>
      </c>
      <c r="D22" s="7" t="s">
        <v>74</v>
      </c>
    </row>
    <row r="24" spans="3:4" x14ac:dyDescent="0.2">
      <c r="C24" s="8" t="s">
        <v>69</v>
      </c>
    </row>
    <row r="25" spans="3:4" x14ac:dyDescent="0.2">
      <c r="C25" s="7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097E-AD08-4249-8556-34DCF7FB0B38}">
  <dimension ref="A1:AI29"/>
  <sheetViews>
    <sheetView tabSelected="1" workbookViewId="0"/>
  </sheetViews>
  <sheetFormatPr defaultRowHeight="15" x14ac:dyDescent="0.25"/>
  <cols>
    <col min="1" max="1" width="11.7109375" bestFit="1" customWidth="1"/>
    <col min="3" max="3" width="34.7109375" customWidth="1"/>
    <col min="25" max="25" width="9.42578125" bestFit="1" customWidth="1"/>
    <col min="27" max="27" width="34.7109375" customWidth="1"/>
  </cols>
  <sheetData>
    <row r="1" spans="1:35" x14ac:dyDescent="0.25">
      <c r="A1" t="s">
        <v>6</v>
      </c>
    </row>
    <row r="2" spans="1:35" x14ac:dyDescent="0.25">
      <c r="A2" t="s">
        <v>7</v>
      </c>
    </row>
    <row r="4" spans="1:35" x14ac:dyDescent="0.25">
      <c r="A4" t="s">
        <v>8</v>
      </c>
    </row>
    <row r="7" spans="1:35" x14ac:dyDescent="0.25">
      <c r="A7" s="1" t="s">
        <v>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 t="s">
        <v>10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 t="s">
        <v>11</v>
      </c>
    </row>
    <row r="9" spans="1:35" x14ac:dyDescent="0.25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  <c r="I9" s="1" t="s">
        <v>20</v>
      </c>
      <c r="J9" s="1" t="s">
        <v>21</v>
      </c>
      <c r="K9" s="1" t="s">
        <v>22</v>
      </c>
      <c r="L9" s="1"/>
      <c r="M9" s="1" t="s">
        <v>12</v>
      </c>
      <c r="N9" s="1" t="s">
        <v>13</v>
      </c>
      <c r="O9" s="1" t="s">
        <v>14</v>
      </c>
      <c r="P9" s="1" t="s">
        <v>15</v>
      </c>
      <c r="Q9" s="1" t="s">
        <v>16</v>
      </c>
      <c r="R9" s="1" t="s">
        <v>17</v>
      </c>
      <c r="S9" s="1" t="s">
        <v>18</v>
      </c>
      <c r="T9" s="1" t="s">
        <v>19</v>
      </c>
      <c r="U9" s="1" t="s">
        <v>20</v>
      </c>
      <c r="V9" s="1" t="s">
        <v>21</v>
      </c>
      <c r="W9" s="1" t="s">
        <v>22</v>
      </c>
      <c r="X9" s="1"/>
      <c r="Y9" s="1" t="s">
        <v>12</v>
      </c>
      <c r="Z9" s="1" t="s">
        <v>13</v>
      </c>
      <c r="AA9" s="1" t="s">
        <v>14</v>
      </c>
      <c r="AB9" s="1" t="s">
        <v>15</v>
      </c>
      <c r="AC9" s="1" t="s">
        <v>16</v>
      </c>
      <c r="AD9" s="1" t="s">
        <v>17</v>
      </c>
      <c r="AE9" s="1" t="s">
        <v>18</v>
      </c>
      <c r="AF9" s="1" t="s">
        <v>19</v>
      </c>
      <c r="AG9" s="1" t="s">
        <v>20</v>
      </c>
      <c r="AH9" s="1" t="s">
        <v>21</v>
      </c>
      <c r="AI9" s="1" t="s">
        <v>22</v>
      </c>
    </row>
    <row r="10" spans="1:35" x14ac:dyDescent="0.25">
      <c r="A10" s="2">
        <v>46223</v>
      </c>
      <c r="B10">
        <v>26166</v>
      </c>
      <c r="C10" t="s">
        <v>23</v>
      </c>
      <c r="D10">
        <v>2732053</v>
      </c>
      <c r="E10">
        <v>550</v>
      </c>
      <c r="F10" t="s">
        <v>24</v>
      </c>
      <c r="G10">
        <v>1.0009999999999999</v>
      </c>
      <c r="H10" t="s">
        <v>25</v>
      </c>
      <c r="I10" t="s">
        <v>26</v>
      </c>
      <c r="J10" s="4">
        <v>21600</v>
      </c>
      <c r="K10" t="s">
        <v>27</v>
      </c>
      <c r="M10" t="b">
        <f>IFERROR(INT(A10)=INT(Y10),EXACT(A10&amp;"",Y10&amp;""))</f>
        <v>1</v>
      </c>
      <c r="N10" t="b">
        <f>IFERROR(ROUND(B10,0)=ROUND(Z10,0),EXACT(B10&amp;"",Z10&amp;""))</f>
        <v>1</v>
      </c>
      <c r="O10" t="b">
        <f>EXACT(TRIM(C10&amp;""),TRIM(AA10&amp;""))</f>
        <v>1</v>
      </c>
      <c r="P10" t="b">
        <f>IFERROR(ABS(D10-AB10)&lt;=0.001,EXACT(D10&amp;"",AB10&amp;""))</f>
        <v>1</v>
      </c>
      <c r="Q10" t="b">
        <f>EXACT(TRIM(E10&amp;""),TRIM(AC10&amp;""))</f>
        <v>1</v>
      </c>
      <c r="R10" t="b">
        <f>EXACT(TRIM(F10&amp;""),TRIM(AD10&amp;""))</f>
        <v>1</v>
      </c>
      <c r="S10" t="b">
        <f>IFERROR(ABS(G10-AE10)&lt;=0.0001,EXACT(G10&amp;"",AE10&amp;""))</f>
        <v>1</v>
      </c>
      <c r="T10" t="b">
        <f>EXACT(TRIM(H10&amp;""),TRIM(AF10&amp;""))</f>
        <v>1</v>
      </c>
      <c r="U10" t="b">
        <f>EXACT(TRIM(I10&amp;""),TRIM(AG10&amp;""))</f>
        <v>1</v>
      </c>
      <c r="V10" t="b">
        <f t="shared" ref="V10:V29" si="0">IFERROR(ROUND(J10,0)=ROUND(AH10,0),EXACT(J10&amp;"",AH10&amp;""))</f>
        <v>1</v>
      </c>
      <c r="W10" t="b">
        <f>EXACT(TRIM(K10&amp;""),TRIM(AI10&amp;""))</f>
        <v>1</v>
      </c>
      <c r="Y10" s="3">
        <v>46223</v>
      </c>
      <c r="Z10">
        <v>26166</v>
      </c>
      <c r="AA10" t="s">
        <v>28</v>
      </c>
      <c r="AB10">
        <v>2732053</v>
      </c>
      <c r="AC10">
        <v>550</v>
      </c>
      <c r="AD10" t="s">
        <v>24</v>
      </c>
      <c r="AE10">
        <v>1.0009999999999999</v>
      </c>
      <c r="AF10" t="s">
        <v>29</v>
      </c>
      <c r="AG10" t="s">
        <v>30</v>
      </c>
      <c r="AH10" s="4">
        <v>21600</v>
      </c>
      <c r="AI10" t="s">
        <v>27</v>
      </c>
    </row>
    <row r="11" spans="1:35" x14ac:dyDescent="0.25">
      <c r="A11" s="2"/>
      <c r="C11" t="s">
        <v>41</v>
      </c>
      <c r="J11" s="4">
        <v>21600</v>
      </c>
      <c r="V11" t="b">
        <f t="shared" si="0"/>
        <v>1</v>
      </c>
      <c r="Y11" s="3"/>
      <c r="AA11" t="s">
        <v>41</v>
      </c>
      <c r="AH11" s="4">
        <f>AVERAGE(AH10)</f>
        <v>21600</v>
      </c>
    </row>
    <row r="12" spans="1:35" x14ac:dyDescent="0.25">
      <c r="A12" s="2"/>
      <c r="B12" t="s">
        <v>42</v>
      </c>
      <c r="J12" s="4">
        <v>21600</v>
      </c>
      <c r="V12" t="b">
        <f t="shared" si="0"/>
        <v>1</v>
      </c>
      <c r="Y12" s="3"/>
      <c r="Z12" t="s">
        <v>42</v>
      </c>
      <c r="AH12" s="4">
        <f>AVERAGE(AH10)</f>
        <v>21600</v>
      </c>
    </row>
    <row r="13" spans="1:35" x14ac:dyDescent="0.25">
      <c r="A13" s="2">
        <v>46223</v>
      </c>
      <c r="B13">
        <v>359693</v>
      </c>
      <c r="C13" t="s">
        <v>31</v>
      </c>
      <c r="D13">
        <v>2740383</v>
      </c>
      <c r="E13">
        <v>540</v>
      </c>
      <c r="F13" t="s">
        <v>24</v>
      </c>
      <c r="G13">
        <v>1</v>
      </c>
      <c r="H13" t="s">
        <v>32</v>
      </c>
      <c r="I13" t="s">
        <v>26</v>
      </c>
      <c r="J13" s="4">
        <v>44000</v>
      </c>
      <c r="K13" t="s">
        <v>27</v>
      </c>
      <c r="M13" t="b">
        <f>IFERROR(INT(A13)=INT(Y13),EXACT(A13&amp;"",Y13&amp;""))</f>
        <v>1</v>
      </c>
      <c r="N13" t="b">
        <f>IFERROR(ROUND(B13,0)=ROUND(Z13,0),EXACT(B13&amp;"",Z13&amp;""))</f>
        <v>1</v>
      </c>
      <c r="O13" t="b">
        <f>EXACT(TRIM(C13&amp;""),TRIM(AA13&amp;""))</f>
        <v>1</v>
      </c>
      <c r="P13" t="b">
        <f>IFERROR(ABS(D13-AB13)&lt;=0.001,EXACT(D13&amp;"",AB13&amp;""))</f>
        <v>1</v>
      </c>
      <c r="Q13" t="b">
        <f>EXACT(TRIM(E13&amp;""),TRIM(AC13&amp;""))</f>
        <v>1</v>
      </c>
      <c r="R13" t="b">
        <f>EXACT(TRIM(F13&amp;""),TRIM(AD13&amp;""))</f>
        <v>1</v>
      </c>
      <c r="S13" t="b">
        <f>IFERROR(ABS(G13-AE13)&lt;=0.0001,EXACT(G13&amp;"",AE13&amp;""))</f>
        <v>1</v>
      </c>
      <c r="T13" t="b">
        <f>EXACT(TRIM(H13&amp;""),TRIM(AF13&amp;""))</f>
        <v>1</v>
      </c>
      <c r="U13" t="b">
        <f>EXACT(TRIM(I13&amp;""),TRIM(AG13&amp;""))</f>
        <v>1</v>
      </c>
      <c r="V13" t="b">
        <f t="shared" si="0"/>
        <v>1</v>
      </c>
      <c r="W13" t="b">
        <f>EXACT(TRIM(K13&amp;""),TRIM(AI13&amp;""))</f>
        <v>1</v>
      </c>
      <c r="Y13" s="3">
        <v>46223</v>
      </c>
      <c r="Z13">
        <v>359693</v>
      </c>
      <c r="AA13" t="s">
        <v>33</v>
      </c>
      <c r="AB13">
        <v>2740383</v>
      </c>
      <c r="AC13">
        <v>540</v>
      </c>
      <c r="AD13" t="s">
        <v>24</v>
      </c>
      <c r="AE13">
        <v>1</v>
      </c>
      <c r="AF13" t="s">
        <v>34</v>
      </c>
      <c r="AG13" t="s">
        <v>30</v>
      </c>
      <c r="AH13" s="4">
        <v>44000</v>
      </c>
      <c r="AI13" t="s">
        <v>27</v>
      </c>
    </row>
    <row r="14" spans="1:35" x14ac:dyDescent="0.25">
      <c r="A14" s="2"/>
      <c r="C14" t="s">
        <v>43</v>
      </c>
      <c r="J14" s="4">
        <v>44000</v>
      </c>
      <c r="V14" t="b">
        <f t="shared" si="0"/>
        <v>1</v>
      </c>
      <c r="Y14" s="3"/>
      <c r="AA14" t="s">
        <v>43</v>
      </c>
      <c r="AH14" s="4">
        <f>AVERAGE(AH13)</f>
        <v>44000</v>
      </c>
    </row>
    <row r="15" spans="1:35" x14ac:dyDescent="0.25">
      <c r="A15" s="2"/>
      <c r="B15" t="s">
        <v>44</v>
      </c>
      <c r="J15" s="4">
        <v>44000</v>
      </c>
      <c r="V15" t="b">
        <f t="shared" si="0"/>
        <v>1</v>
      </c>
      <c r="Y15" s="3"/>
      <c r="Z15" t="s">
        <v>44</v>
      </c>
      <c r="AH15" s="4">
        <f>AVERAGE(AH13)</f>
        <v>44000</v>
      </c>
    </row>
    <row r="16" spans="1:35" x14ac:dyDescent="0.25">
      <c r="A16" s="2" t="s">
        <v>45</v>
      </c>
      <c r="J16" s="4">
        <v>32800</v>
      </c>
      <c r="V16" t="b">
        <f t="shared" si="0"/>
        <v>1</v>
      </c>
      <c r="Y16" s="3" t="s">
        <v>45</v>
      </c>
      <c r="AH16" s="4">
        <f>AVERAGE(AH10,AH13)</f>
        <v>32800</v>
      </c>
    </row>
    <row r="17" spans="1:35" x14ac:dyDescent="0.25">
      <c r="A17" s="2">
        <v>46230</v>
      </c>
      <c r="B17">
        <v>359693</v>
      </c>
      <c r="C17" t="s">
        <v>35</v>
      </c>
      <c r="D17">
        <v>2727576</v>
      </c>
      <c r="E17">
        <v>540</v>
      </c>
      <c r="F17" t="s">
        <v>24</v>
      </c>
      <c r="G17">
        <v>2</v>
      </c>
      <c r="H17" t="s">
        <v>32</v>
      </c>
      <c r="I17" t="s">
        <v>26</v>
      </c>
      <c r="J17" s="4">
        <v>44000</v>
      </c>
      <c r="K17" t="s">
        <v>27</v>
      </c>
      <c r="M17" t="b">
        <f>IFERROR(INT(A17)=INT(Y17),EXACT(A17&amp;"",Y17&amp;""))</f>
        <v>1</v>
      </c>
      <c r="N17" t="b">
        <f>IFERROR(ROUND(B17,0)=ROUND(Z17,0),EXACT(B17&amp;"",Z17&amp;""))</f>
        <v>1</v>
      </c>
      <c r="O17" t="b">
        <f>EXACT(TRIM(C17&amp;""),TRIM(AA17&amp;""))</f>
        <v>1</v>
      </c>
      <c r="P17" t="b">
        <f>IFERROR(ABS(D17-AB17)&lt;=0.001,EXACT(D17&amp;"",AB17&amp;""))</f>
        <v>1</v>
      </c>
      <c r="Q17" t="b">
        <f>EXACT(TRIM(E17&amp;""),TRIM(AC17&amp;""))</f>
        <v>1</v>
      </c>
      <c r="R17" t="b">
        <f>EXACT(TRIM(F17&amp;""),TRIM(AD17&amp;""))</f>
        <v>1</v>
      </c>
      <c r="S17" t="b">
        <f>IFERROR(ABS(G17-AE17)&lt;=0.0001,EXACT(G17&amp;"",AE17&amp;""))</f>
        <v>1</v>
      </c>
      <c r="T17" t="b">
        <f>EXACT(TRIM(H17&amp;""),TRIM(AF17&amp;""))</f>
        <v>1</v>
      </c>
      <c r="U17" t="b">
        <f>EXACT(TRIM(I17&amp;""),TRIM(AG17&amp;""))</f>
        <v>1</v>
      </c>
      <c r="V17" t="b">
        <f t="shared" si="0"/>
        <v>1</v>
      </c>
      <c r="W17" t="b">
        <f>EXACT(TRIM(K17&amp;""),TRIM(AI17&amp;""))</f>
        <v>1</v>
      </c>
      <c r="Y17" s="3">
        <v>46230</v>
      </c>
      <c r="Z17">
        <v>359693</v>
      </c>
      <c r="AA17" t="s">
        <v>36</v>
      </c>
      <c r="AB17">
        <v>2727576</v>
      </c>
      <c r="AC17">
        <v>540</v>
      </c>
      <c r="AD17" t="s">
        <v>24</v>
      </c>
      <c r="AE17">
        <v>2</v>
      </c>
      <c r="AF17" t="s">
        <v>34</v>
      </c>
      <c r="AG17" t="s">
        <v>30</v>
      </c>
      <c r="AH17" s="4">
        <v>44000</v>
      </c>
      <c r="AI17" t="s">
        <v>27</v>
      </c>
    </row>
    <row r="18" spans="1:35" x14ac:dyDescent="0.25">
      <c r="A18" s="2"/>
      <c r="C18" t="s">
        <v>46</v>
      </c>
      <c r="J18" s="4">
        <v>44000</v>
      </c>
      <c r="V18" t="b">
        <f t="shared" si="0"/>
        <v>1</v>
      </c>
      <c r="Y18" s="3"/>
      <c r="AA18" t="s">
        <v>46</v>
      </c>
      <c r="AH18" s="4">
        <f>AVERAGE(AH17)</f>
        <v>44000</v>
      </c>
    </row>
    <row r="19" spans="1:35" x14ac:dyDescent="0.25">
      <c r="A19" s="2"/>
      <c r="B19" t="s">
        <v>44</v>
      </c>
      <c r="J19" s="4">
        <v>44000</v>
      </c>
      <c r="V19" t="b">
        <f t="shared" si="0"/>
        <v>1</v>
      </c>
      <c r="Y19" s="3"/>
      <c r="Z19" t="s">
        <v>44</v>
      </c>
      <c r="AH19" s="4">
        <f>AVERAGE(AH17)</f>
        <v>44000</v>
      </c>
    </row>
    <row r="20" spans="1:35" x14ac:dyDescent="0.25">
      <c r="A20" s="2" t="s">
        <v>47</v>
      </c>
      <c r="J20" s="4">
        <v>44000</v>
      </c>
      <c r="V20" t="b">
        <f t="shared" si="0"/>
        <v>1</v>
      </c>
      <c r="Y20" s="3" t="s">
        <v>47</v>
      </c>
      <c r="AH20" s="4">
        <f>AVERAGE(AH17)</f>
        <v>44000</v>
      </c>
    </row>
    <row r="21" spans="1:35" x14ac:dyDescent="0.25">
      <c r="A21" s="2">
        <v>46232</v>
      </c>
      <c r="B21">
        <v>26166</v>
      </c>
      <c r="C21" t="s">
        <v>37</v>
      </c>
      <c r="D21">
        <v>2744344</v>
      </c>
      <c r="E21">
        <v>535</v>
      </c>
      <c r="F21" t="s">
        <v>24</v>
      </c>
      <c r="G21">
        <v>1</v>
      </c>
      <c r="H21" t="s">
        <v>25</v>
      </c>
      <c r="I21" t="s">
        <v>38</v>
      </c>
      <c r="J21" s="4">
        <v>40500</v>
      </c>
      <c r="K21" t="s">
        <v>27</v>
      </c>
      <c r="M21" t="b">
        <f>IFERROR(INT(A21)=INT(Y21),EXACT(A21&amp;"",Y21&amp;""))</f>
        <v>1</v>
      </c>
      <c r="N21" t="b">
        <f>IFERROR(ROUND(B21,0)=ROUND(Z21,0),EXACT(B21&amp;"",Z21&amp;""))</f>
        <v>1</v>
      </c>
      <c r="O21" t="b">
        <f>EXACT(TRIM(C21&amp;""),TRIM(AA21&amp;""))</f>
        <v>1</v>
      </c>
      <c r="P21" t="b">
        <f>IFERROR(ABS(D21-AB21)&lt;=0.001,EXACT(D21&amp;"",AB21&amp;""))</f>
        <v>1</v>
      </c>
      <c r="Q21" t="b">
        <f>EXACT(TRIM(E21&amp;""),TRIM(AC21&amp;""))</f>
        <v>0</v>
      </c>
      <c r="R21" t="b">
        <f>EXACT(TRIM(F21&amp;""),TRIM(AD21&amp;""))</f>
        <v>1</v>
      </c>
      <c r="S21" t="b">
        <f>IFERROR(ABS(G21-AE21)&lt;=0.0001,EXACT(G21&amp;"",AE21&amp;""))</f>
        <v>1</v>
      </c>
      <c r="T21" t="b">
        <f>EXACT(TRIM(H21&amp;""),TRIM(AF21&amp;""))</f>
        <v>1</v>
      </c>
      <c r="U21" t="b">
        <f>EXACT(TRIM(I21&amp;""),TRIM(AG21&amp;""))</f>
        <v>1</v>
      </c>
      <c r="V21" t="b">
        <f t="shared" si="0"/>
        <v>1</v>
      </c>
      <c r="W21" t="b">
        <f>EXACT(TRIM(K21&amp;""),TRIM(AI21&amp;""))</f>
        <v>1</v>
      </c>
      <c r="Y21" s="3">
        <v>46232</v>
      </c>
      <c r="Z21">
        <v>26166</v>
      </c>
      <c r="AA21" t="s">
        <v>39</v>
      </c>
      <c r="AB21">
        <v>2744344</v>
      </c>
      <c r="AC21">
        <v>530</v>
      </c>
      <c r="AD21" t="s">
        <v>24</v>
      </c>
      <c r="AE21">
        <v>1</v>
      </c>
      <c r="AF21" t="s">
        <v>29</v>
      </c>
      <c r="AG21" t="s">
        <v>40</v>
      </c>
      <c r="AH21" s="4">
        <v>40500</v>
      </c>
      <c r="AI21" t="s">
        <v>27</v>
      </c>
    </row>
    <row r="22" spans="1:35" x14ac:dyDescent="0.25">
      <c r="A22" s="2"/>
      <c r="C22" t="s">
        <v>48</v>
      </c>
      <c r="J22" s="4">
        <v>40500</v>
      </c>
      <c r="V22" t="b">
        <f t="shared" si="0"/>
        <v>1</v>
      </c>
      <c r="Y22" s="3"/>
      <c r="AA22" t="s">
        <v>48</v>
      </c>
      <c r="AH22" s="4">
        <f>AVERAGE(AH21)</f>
        <v>40500</v>
      </c>
    </row>
    <row r="23" spans="1:35" x14ac:dyDescent="0.25">
      <c r="A23" s="2"/>
      <c r="B23" t="s">
        <v>42</v>
      </c>
      <c r="J23" s="4">
        <v>40500</v>
      </c>
      <c r="V23" t="b">
        <f t="shared" si="0"/>
        <v>1</v>
      </c>
      <c r="Y23" s="3"/>
      <c r="Z23" t="s">
        <v>42</v>
      </c>
      <c r="AH23" s="4">
        <f>AVERAGE(AH21)</f>
        <v>40500</v>
      </c>
    </row>
    <row r="24" spans="1:35" x14ac:dyDescent="0.25">
      <c r="A24" s="2" t="s">
        <v>49</v>
      </c>
      <c r="J24" s="4">
        <v>40500</v>
      </c>
      <c r="V24" t="b">
        <f t="shared" si="0"/>
        <v>1</v>
      </c>
      <c r="Y24" s="3" t="s">
        <v>49</v>
      </c>
      <c r="AH24" s="4">
        <f>AVERAGE(AH21)</f>
        <v>40500</v>
      </c>
    </row>
    <row r="25" spans="1:35" x14ac:dyDescent="0.25">
      <c r="A25" s="2">
        <v>46245</v>
      </c>
      <c r="B25">
        <v>359693</v>
      </c>
      <c r="C25" t="s">
        <v>35</v>
      </c>
      <c r="D25">
        <v>2743388</v>
      </c>
      <c r="E25">
        <v>540</v>
      </c>
      <c r="F25" t="s">
        <v>24</v>
      </c>
      <c r="G25">
        <v>1</v>
      </c>
      <c r="H25" t="s">
        <v>32</v>
      </c>
      <c r="I25" t="s">
        <v>26</v>
      </c>
      <c r="J25" s="4">
        <v>44000</v>
      </c>
      <c r="K25" t="s">
        <v>27</v>
      </c>
      <c r="M25" t="b">
        <f>IFERROR(INT(A25)=INT(Y25),EXACT(A25&amp;"",Y25&amp;""))</f>
        <v>1</v>
      </c>
      <c r="N25" t="b">
        <f>IFERROR(ROUND(B25,0)=ROUND(Z25,0),EXACT(B25&amp;"",Z25&amp;""))</f>
        <v>1</v>
      </c>
      <c r="O25" t="b">
        <f>EXACT(TRIM(C25&amp;""),TRIM(AA25&amp;""))</f>
        <v>1</v>
      </c>
      <c r="P25" t="b">
        <f>IFERROR(ABS(D25-AB25)&lt;=0.001,EXACT(D25&amp;"",AB25&amp;""))</f>
        <v>1</v>
      </c>
      <c r="Q25" t="b">
        <f>EXACT(TRIM(E25&amp;""),TRIM(AC25&amp;""))</f>
        <v>1</v>
      </c>
      <c r="R25" t="b">
        <f>EXACT(TRIM(F25&amp;""),TRIM(AD25&amp;""))</f>
        <v>1</v>
      </c>
      <c r="S25" t="b">
        <f>IFERROR(ABS(G25-AE25)&lt;=0.0001,EXACT(G25&amp;"",AE25&amp;""))</f>
        <v>1</v>
      </c>
      <c r="T25" t="b">
        <f>EXACT(TRIM(H25&amp;""),TRIM(AF25&amp;""))</f>
        <v>1</v>
      </c>
      <c r="U25" t="b">
        <f>EXACT(TRIM(I25&amp;""),TRIM(AG25&amp;""))</f>
        <v>1</v>
      </c>
      <c r="V25" t="b">
        <f t="shared" si="0"/>
        <v>1</v>
      </c>
      <c r="W25" t="b">
        <f>EXACT(TRIM(K25&amp;""),TRIM(AI25&amp;""))</f>
        <v>1</v>
      </c>
      <c r="Y25" s="3">
        <v>46245</v>
      </c>
      <c r="Z25">
        <v>359693</v>
      </c>
      <c r="AA25" t="s">
        <v>36</v>
      </c>
      <c r="AB25">
        <v>2743388</v>
      </c>
      <c r="AC25">
        <v>540</v>
      </c>
      <c r="AD25" t="s">
        <v>24</v>
      </c>
      <c r="AE25">
        <v>1</v>
      </c>
      <c r="AF25" t="s">
        <v>34</v>
      </c>
      <c r="AG25" t="s">
        <v>30</v>
      </c>
      <c r="AH25" s="4">
        <v>44000</v>
      </c>
      <c r="AI25" t="s">
        <v>27</v>
      </c>
    </row>
    <row r="26" spans="1:35" x14ac:dyDescent="0.25">
      <c r="A26" s="2"/>
      <c r="C26" t="s">
        <v>46</v>
      </c>
      <c r="J26" s="4">
        <v>44000</v>
      </c>
      <c r="V26" t="b">
        <f t="shared" si="0"/>
        <v>1</v>
      </c>
      <c r="Y26" s="3"/>
      <c r="AA26" t="s">
        <v>46</v>
      </c>
      <c r="AH26" s="4">
        <f>AVERAGE(AH25)</f>
        <v>44000</v>
      </c>
    </row>
    <row r="27" spans="1:35" x14ac:dyDescent="0.25">
      <c r="A27" s="2"/>
      <c r="B27" t="s">
        <v>44</v>
      </c>
      <c r="J27" s="4">
        <v>44000</v>
      </c>
      <c r="V27" t="b">
        <f t="shared" si="0"/>
        <v>1</v>
      </c>
      <c r="Y27" s="3"/>
      <c r="Z27" t="s">
        <v>44</v>
      </c>
      <c r="AH27" s="4">
        <f>AVERAGE(AH25)</f>
        <v>44000</v>
      </c>
    </row>
    <row r="28" spans="1:35" x14ac:dyDescent="0.25">
      <c r="A28" s="2" t="s">
        <v>50</v>
      </c>
      <c r="J28" s="4">
        <v>44000</v>
      </c>
      <c r="V28" t="b">
        <f t="shared" si="0"/>
        <v>1</v>
      </c>
      <c r="Y28" s="3" t="s">
        <v>50</v>
      </c>
      <c r="AH28" s="4">
        <f>AVERAGE(AH25)</f>
        <v>44000</v>
      </c>
    </row>
    <row r="29" spans="1:35" x14ac:dyDescent="0.25">
      <c r="A29" s="2" t="s">
        <v>51</v>
      </c>
      <c r="J29" s="4">
        <v>38820</v>
      </c>
      <c r="V29" t="b">
        <f t="shared" si="0"/>
        <v>1</v>
      </c>
      <c r="Y29" s="3" t="s">
        <v>51</v>
      </c>
      <c r="AH29" s="4">
        <f>AVERAGE(AH10,AH13,AH17,AH21,AH25)</f>
        <v>38820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0E47-8B66-4413-A23B-F8775B3E2DE6}">
  <dimension ref="A1:C10"/>
  <sheetViews>
    <sheetView workbookViewId="0"/>
  </sheetViews>
  <sheetFormatPr defaultRowHeight="15" x14ac:dyDescent="0.25"/>
  <cols>
    <col min="3" max="3" width="90.7109375" customWidth="1"/>
  </cols>
  <sheetData>
    <row r="1" spans="1:3" x14ac:dyDescent="0.25">
      <c r="A1" s="1" t="s">
        <v>52</v>
      </c>
    </row>
    <row r="2" spans="1:3" x14ac:dyDescent="0.25">
      <c r="A2" t="s">
        <v>53</v>
      </c>
      <c r="B2" t="s">
        <v>54</v>
      </c>
    </row>
    <row r="3" spans="1:3" x14ac:dyDescent="0.25">
      <c r="A3" t="s">
        <v>55</v>
      </c>
    </row>
    <row r="5" spans="1:3" x14ac:dyDescent="0.25">
      <c r="A5" t="s">
        <v>56</v>
      </c>
      <c r="B5" t="s">
        <v>54</v>
      </c>
    </row>
    <row r="6" spans="1:3" x14ac:dyDescent="0.25">
      <c r="A6" t="s">
        <v>55</v>
      </c>
    </row>
    <row r="8" spans="1:3" x14ac:dyDescent="0.25">
      <c r="A8" t="s">
        <v>57</v>
      </c>
    </row>
    <row r="9" spans="1:3" x14ac:dyDescent="0.25">
      <c r="A9" t="s">
        <v>58</v>
      </c>
      <c r="B9" t="s">
        <v>59</v>
      </c>
      <c r="C9" t="s">
        <v>54</v>
      </c>
    </row>
    <row r="10" spans="1:3" x14ac:dyDescent="0.25">
      <c r="A10" t="s">
        <v>60</v>
      </c>
      <c r="B10" t="s">
        <v>61</v>
      </c>
      <c r="C10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A04D5611-A2D3-48D0-A4B8-6042D25C98F1}"/>
</file>

<file path=customXml/itemProps2.xml><?xml version="1.0" encoding="utf-8"?>
<ds:datastoreItem xmlns:ds="http://schemas.openxmlformats.org/officeDocument/2006/customXml" ds:itemID="{8701055F-BF44-453D-A200-B8090439BAC4}"/>
</file>

<file path=customXml/itemProps3.xml><?xml version="1.0" encoding="utf-8"?>
<ds:datastoreItem xmlns:ds="http://schemas.openxmlformats.org/officeDocument/2006/customXml" ds:itemID="{91EF6B10-BF99-4865-8C7F-52B3DD47E0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Comparison</vt:lpstr>
      <vt:lpstr>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Bishop</dc:creator>
  <cp:lastModifiedBy>Zack Bishop</cp:lastModifiedBy>
  <dcterms:created xsi:type="dcterms:W3CDTF">2026-07-16T14:20:02Z</dcterms:created>
  <dcterms:modified xsi:type="dcterms:W3CDTF">2026-07-16T15:31:01Z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