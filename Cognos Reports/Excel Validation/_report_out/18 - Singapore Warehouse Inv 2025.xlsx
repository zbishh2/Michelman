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EB20AFC7-F9E3-41AB-AA8C-FEAAE79127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es" sheetId="1" r:id="rId1"/>
    <sheet name="Comparison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2" l="1"/>
  <c r="P46" i="2"/>
  <c r="O46" i="2"/>
  <c r="N46" i="2"/>
  <c r="G46" i="2"/>
  <c r="E46" i="2"/>
  <c r="K46" i="2" s="1"/>
  <c r="D46" i="2"/>
  <c r="J46" i="2" s="1"/>
  <c r="C46" i="2"/>
  <c r="I46" i="2" s="1"/>
  <c r="B46" i="2"/>
  <c r="H46" i="2" s="1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</calcChain>
</file>

<file path=xl/sharedStrings.xml><?xml version="1.0" encoding="utf-8"?>
<sst xmlns="http://schemas.openxmlformats.org/spreadsheetml/2006/main" count="42" uniqueCount="29">
  <si>
    <t>Cognos Migration - Report 18 - 1 - Singapore Warehouse Inv 2025</t>
  </si>
  <si>
    <t>Data revised 7/17/2026</t>
  </si>
  <si>
    <t>Validation summary</t>
  </si>
  <si>
    <t>Per-date grain (one row per twice-weekly snapshot). 35/35 Inventory Dates matched; Cognos-only 0, PBI-only 0.</t>
  </si>
  <si>
    <t>All per-date compares TRUE (Rows exact; QOH/KGs/USD within 0.1% tolerance). Residual = Cognos per-row integer rounding.</t>
  </si>
  <si>
    <t>Cognos filters</t>
  </si>
  <si>
    <t>USD total: Cognos 330,113,846 vs PBI 330,113,479 (-0.01%).</t>
  </si>
  <si>
    <t>Region = Singapore (Business Units SING, SNG4).</t>
  </si>
  <si>
    <t>Master Planning Family NOT IN (H2O, PKG).</t>
  </si>
  <si>
    <t>Quantity on Hand &gt; 0.</t>
  </si>
  <si>
    <t>Twice-weekly Wed/Sun snapshot cadence.</t>
  </si>
  <si>
    <t>Grain / cost</t>
  </si>
  <si>
    <t>Grain = EDW dbo.FactInventorySnapshot_History. Cost = lot's AmountUnitCost with item/branch carrier fallback for ItemCostSKey = -1 lots.</t>
  </si>
  <si>
    <t>Cognos Report</t>
  </si>
  <si>
    <t>As of 7/17/2026</t>
  </si>
  <si>
    <t>Cognos</t>
  </si>
  <si>
    <t>Compare</t>
  </si>
  <si>
    <t>PBI</t>
  </si>
  <si>
    <t>Inventory Date</t>
  </si>
  <si>
    <t>Rows</t>
  </si>
  <si>
    <t>QOH</t>
  </si>
  <si>
    <t>KGs</t>
  </si>
  <si>
    <t>USD</t>
  </si>
  <si>
    <t>Grand Total</t>
  </si>
  <si>
    <t>1 - Singapore Warehouse Inv 2025  -  key: Inventory Date</t>
  </si>
  <si>
    <t>in Cognos but not in PBI</t>
  </si>
  <si>
    <t>reason</t>
  </si>
  <si>
    <t>(none)</t>
  </si>
  <si>
    <t>in PBI but not in Cognos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</si>
</sst>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"/>
  </numFmts>
  <fonts count="6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0" sqref="A20"/>
    </sheetView>
  </sheetViews>
  <sheetFormatPr defaultRowHeight="15"/>
  <cols>
    <col min="1" max="1" width="46" customWidth="1"/>
    <col min="2" max="2" width="9.140625" customWidth="1"/>
    <col min="3" max="3" width="46" customWidth="1"/>
    <col min="5" max="5" width="9.140625" customWidth="1"/>
  </cols>
  <sheetData>
    <row r="1" spans="1:1" ht="18">
      <c r="A1" s="1" t="s">
        <v>0</v>
      </c>
    </row>
    <row r="2" spans="1:1">
      <c r="A2" s="2" t="s">
        <v>1</v>
      </c>
    </row>
    <row r="4" spans="1:1">
      <c r="A4" s="3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6</v>
      </c>
    </row>
    <row r="10" spans="1:1">
      <c r="A10" s="3" t="s">
        <v>5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6" spans="1:1">
      <c r="A16" s="3" t="s">
        <v>11</v>
      </c>
    </row>
    <row r="17" spans="1:1">
      <c r="A1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topLeftCell="A19" workbookViewId="0">
      <selection activeCell="A4" sqref="A4"/>
    </sheetView>
  </sheetViews>
  <sheetFormatPr defaultRowHeight="15"/>
  <cols>
    <col min="1" max="1" width="14" customWidth="1"/>
    <col min="2" max="2" width="8" customWidth="1"/>
    <col min="3" max="4" width="12" customWidth="1"/>
    <col min="5" max="5" width="13" customWidth="1"/>
    <col min="6" max="6" width="3" customWidth="1"/>
    <col min="7" max="7" width="14" customWidth="1"/>
    <col min="8" max="11" width="8" customWidth="1"/>
    <col min="12" max="12" width="3" customWidth="1"/>
    <col min="13" max="13" width="14" customWidth="1"/>
    <col min="14" max="14" width="8" customWidth="1"/>
    <col min="15" max="16" width="12" customWidth="1"/>
    <col min="17" max="17" width="13" customWidth="1"/>
  </cols>
  <sheetData>
    <row r="1" spans="1:17">
      <c r="A1" s="4" t="s">
        <v>13</v>
      </c>
    </row>
    <row r="2" spans="1:17">
      <c r="A2" s="4" t="s">
        <v>14</v>
      </c>
    </row>
    <row r="4" spans="1:17">
      <c r="A4" s="4"/>
    </row>
    <row r="7" spans="1:17">
      <c r="A7" s="5" t="s">
        <v>15</v>
      </c>
      <c r="G7" s="5" t="s">
        <v>16</v>
      </c>
      <c r="M7" s="5" t="s">
        <v>17</v>
      </c>
    </row>
    <row r="9" spans="1:17">
      <c r="A9" s="5" t="s">
        <v>18</v>
      </c>
      <c r="B9" s="5" t="s">
        <v>19</v>
      </c>
      <c r="C9" s="5" t="s">
        <v>20</v>
      </c>
      <c r="D9" s="5" t="s">
        <v>21</v>
      </c>
      <c r="E9" s="5" t="s">
        <v>22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M9" s="5" t="s">
        <v>18</v>
      </c>
      <c r="N9" s="5" t="s">
        <v>19</v>
      </c>
      <c r="O9" s="5" t="s">
        <v>20</v>
      </c>
      <c r="P9" s="5" t="s">
        <v>21</v>
      </c>
      <c r="Q9" s="5" t="s">
        <v>22</v>
      </c>
    </row>
    <row r="10" spans="1:17">
      <c r="A10" s="6">
        <v>46099</v>
      </c>
      <c r="B10" s="7">
        <v>729</v>
      </c>
      <c r="C10" s="8">
        <v>2513061</v>
      </c>
      <c r="D10" s="8">
        <v>2535874</v>
      </c>
      <c r="E10" s="9">
        <v>8652978</v>
      </c>
      <c r="G10" s="4" t="b">
        <f t="shared" ref="G10:G44" si="0">IFERROR(INT(A10)=INT(M10),EXACT(A10&amp;"",M10&amp;""))</f>
        <v>1</v>
      </c>
      <c r="H10" s="4" t="b">
        <f t="shared" ref="H10:H44" si="1">ROUND(B10,0)=ROUND(N10,0)</f>
        <v>1</v>
      </c>
      <c r="I10" s="4" t="b">
        <f t="shared" ref="I10:I44" si="2">IFERROR(ABS(C10-O10)/O10&lt;=0.001,FALSE)</f>
        <v>1</v>
      </c>
      <c r="J10" s="4" t="b">
        <f t="shared" ref="J10:J44" si="3">IFERROR(ABS(D10-P10)/P10&lt;=0.001,FALSE)</f>
        <v>1</v>
      </c>
      <c r="K10" s="4" t="b">
        <f t="shared" ref="K10:K44" si="4">IFERROR(ABS(E10-Q10)/Q10&lt;=0.001,FALSE)</f>
        <v>1</v>
      </c>
      <c r="M10" s="6">
        <v>46099</v>
      </c>
      <c r="N10" s="7">
        <v>729</v>
      </c>
      <c r="O10" s="8">
        <v>2513054.7000000002</v>
      </c>
      <c r="P10" s="8">
        <v>2535867.2400000002</v>
      </c>
      <c r="Q10" s="9">
        <v>8652956.2400000002</v>
      </c>
    </row>
    <row r="11" spans="1:17">
      <c r="A11" s="6">
        <v>46103</v>
      </c>
      <c r="B11" s="7">
        <v>746</v>
      </c>
      <c r="C11" s="8">
        <v>2625675</v>
      </c>
      <c r="D11" s="8">
        <v>2653048</v>
      </c>
      <c r="E11" s="9">
        <v>8722877</v>
      </c>
      <c r="G11" s="4" t="b">
        <f t="shared" si="0"/>
        <v>1</v>
      </c>
      <c r="H11" s="4" t="b">
        <f t="shared" si="1"/>
        <v>1</v>
      </c>
      <c r="I11" s="4" t="b">
        <f t="shared" si="2"/>
        <v>1</v>
      </c>
      <c r="J11" s="4" t="b">
        <f t="shared" si="3"/>
        <v>1</v>
      </c>
      <c r="K11" s="4" t="b">
        <f t="shared" si="4"/>
        <v>1</v>
      </c>
      <c r="M11" s="6">
        <v>46103</v>
      </c>
      <c r="N11" s="7">
        <v>746</v>
      </c>
      <c r="O11" s="8">
        <v>2625674.5499999998</v>
      </c>
      <c r="P11" s="8">
        <v>2653047.02</v>
      </c>
      <c r="Q11" s="9">
        <v>8722854.9499999993</v>
      </c>
    </row>
    <row r="12" spans="1:17">
      <c r="A12" s="6">
        <v>46106</v>
      </c>
      <c r="B12" s="7">
        <v>742</v>
      </c>
      <c r="C12" s="8">
        <v>2540797</v>
      </c>
      <c r="D12" s="8">
        <v>2558975</v>
      </c>
      <c r="E12" s="9">
        <v>8668665</v>
      </c>
      <c r="G12" s="4" t="b">
        <f t="shared" si="0"/>
        <v>1</v>
      </c>
      <c r="H12" s="4" t="b">
        <f t="shared" si="1"/>
        <v>1</v>
      </c>
      <c r="I12" s="4" t="b">
        <f t="shared" si="2"/>
        <v>1</v>
      </c>
      <c r="J12" s="4" t="b">
        <f t="shared" si="3"/>
        <v>1</v>
      </c>
      <c r="K12" s="4" t="b">
        <f t="shared" si="4"/>
        <v>1</v>
      </c>
      <c r="M12" s="6">
        <v>46106</v>
      </c>
      <c r="N12" s="7">
        <v>742</v>
      </c>
      <c r="O12" s="8">
        <v>2540791.2200000002</v>
      </c>
      <c r="P12" s="8">
        <v>2558969.1800000002</v>
      </c>
      <c r="Q12" s="9">
        <v>8668639.1899999995</v>
      </c>
    </row>
    <row r="13" spans="1:17">
      <c r="A13" s="6">
        <v>46110</v>
      </c>
      <c r="B13" s="7">
        <v>709</v>
      </c>
      <c r="C13" s="8">
        <v>2471513</v>
      </c>
      <c r="D13" s="8">
        <v>2491553</v>
      </c>
      <c r="E13" s="9">
        <v>8396847</v>
      </c>
      <c r="G13" s="4" t="b">
        <f t="shared" si="0"/>
        <v>1</v>
      </c>
      <c r="H13" s="4" t="b">
        <f t="shared" si="1"/>
        <v>1</v>
      </c>
      <c r="I13" s="4" t="b">
        <f t="shared" si="2"/>
        <v>1</v>
      </c>
      <c r="J13" s="4" t="b">
        <f t="shared" si="3"/>
        <v>1</v>
      </c>
      <c r="K13" s="4" t="b">
        <f t="shared" si="4"/>
        <v>1</v>
      </c>
      <c r="M13" s="6">
        <v>46110</v>
      </c>
      <c r="N13" s="7">
        <v>709</v>
      </c>
      <c r="O13" s="8">
        <v>2471503.5699999998</v>
      </c>
      <c r="P13" s="8">
        <v>2491543.5</v>
      </c>
      <c r="Q13" s="9">
        <v>8396822.4700000007</v>
      </c>
    </row>
    <row r="14" spans="1:17">
      <c r="A14" s="6">
        <v>46113</v>
      </c>
      <c r="B14" s="7">
        <v>700</v>
      </c>
      <c r="C14" s="8">
        <v>2494494</v>
      </c>
      <c r="D14" s="8">
        <v>2490948</v>
      </c>
      <c r="E14" s="9">
        <v>8460477</v>
      </c>
      <c r="G14" s="4" t="b">
        <f t="shared" si="0"/>
        <v>1</v>
      </c>
      <c r="H14" s="4" t="b">
        <f t="shared" si="1"/>
        <v>1</v>
      </c>
      <c r="I14" s="4" t="b">
        <f t="shared" si="2"/>
        <v>1</v>
      </c>
      <c r="J14" s="4" t="b">
        <f t="shared" si="3"/>
        <v>1</v>
      </c>
      <c r="K14" s="4" t="b">
        <f t="shared" si="4"/>
        <v>1</v>
      </c>
      <c r="M14" s="6">
        <v>46113</v>
      </c>
      <c r="N14" s="7">
        <v>700</v>
      </c>
      <c r="O14" s="8">
        <v>2494482.59</v>
      </c>
      <c r="P14" s="8">
        <v>2490937</v>
      </c>
      <c r="Q14" s="9">
        <v>8460456.9800000004</v>
      </c>
    </row>
    <row r="15" spans="1:17">
      <c r="A15" s="6">
        <v>46117</v>
      </c>
      <c r="B15" s="7">
        <v>702</v>
      </c>
      <c r="C15" s="8">
        <v>2509797</v>
      </c>
      <c r="D15" s="8">
        <v>2511006</v>
      </c>
      <c r="E15" s="9">
        <v>8605940</v>
      </c>
      <c r="G15" s="4" t="b">
        <f t="shared" si="0"/>
        <v>1</v>
      </c>
      <c r="H15" s="4" t="b">
        <f t="shared" si="1"/>
        <v>1</v>
      </c>
      <c r="I15" s="4" t="b">
        <f t="shared" si="2"/>
        <v>1</v>
      </c>
      <c r="J15" s="4" t="b">
        <f t="shared" si="3"/>
        <v>1</v>
      </c>
      <c r="K15" s="4" t="b">
        <f t="shared" si="4"/>
        <v>1</v>
      </c>
      <c r="M15" s="6">
        <v>46117</v>
      </c>
      <c r="N15" s="7">
        <v>702</v>
      </c>
      <c r="O15" s="8">
        <v>2509786.91</v>
      </c>
      <c r="P15" s="8">
        <v>2510996.4</v>
      </c>
      <c r="Q15" s="9">
        <v>8605921.3699999992</v>
      </c>
    </row>
    <row r="16" spans="1:17">
      <c r="A16" s="6">
        <v>46120</v>
      </c>
      <c r="B16" s="7">
        <v>724</v>
      </c>
      <c r="C16" s="8">
        <v>2626469</v>
      </c>
      <c r="D16" s="8">
        <v>2629369</v>
      </c>
      <c r="E16" s="9">
        <v>9757783</v>
      </c>
      <c r="G16" s="4" t="b">
        <f t="shared" si="0"/>
        <v>1</v>
      </c>
      <c r="H16" s="4" t="b">
        <f t="shared" si="1"/>
        <v>1</v>
      </c>
      <c r="I16" s="4" t="b">
        <f t="shared" si="2"/>
        <v>1</v>
      </c>
      <c r="J16" s="4" t="b">
        <f t="shared" si="3"/>
        <v>1</v>
      </c>
      <c r="K16" s="4" t="b">
        <f t="shared" si="4"/>
        <v>1</v>
      </c>
      <c r="M16" s="6">
        <v>46120</v>
      </c>
      <c r="N16" s="7">
        <v>724</v>
      </c>
      <c r="O16" s="8">
        <v>2626454.3199999998</v>
      </c>
      <c r="P16" s="8">
        <v>2629354.7799999998</v>
      </c>
      <c r="Q16" s="9">
        <v>9757765.4700000007</v>
      </c>
    </row>
    <row r="17" spans="1:17">
      <c r="A17" s="6">
        <v>46124</v>
      </c>
      <c r="B17" s="7">
        <v>748</v>
      </c>
      <c r="C17" s="8">
        <v>2691664</v>
      </c>
      <c r="D17" s="8">
        <v>2688637</v>
      </c>
      <c r="E17" s="9">
        <v>10140160</v>
      </c>
      <c r="G17" s="4" t="b">
        <f t="shared" si="0"/>
        <v>1</v>
      </c>
      <c r="H17" s="4" t="b">
        <f t="shared" si="1"/>
        <v>1</v>
      </c>
      <c r="I17" s="4" t="b">
        <f t="shared" si="2"/>
        <v>1</v>
      </c>
      <c r="J17" s="4" t="b">
        <f t="shared" si="3"/>
        <v>1</v>
      </c>
      <c r="K17" s="4" t="b">
        <f t="shared" si="4"/>
        <v>1</v>
      </c>
      <c r="M17" s="6">
        <v>46124</v>
      </c>
      <c r="N17" s="7">
        <v>748</v>
      </c>
      <c r="O17" s="8">
        <v>2691653.92</v>
      </c>
      <c r="P17" s="8">
        <v>2688627.27</v>
      </c>
      <c r="Q17" s="9">
        <v>10140145.359999999</v>
      </c>
    </row>
    <row r="18" spans="1:17">
      <c r="A18" s="6">
        <v>46127</v>
      </c>
      <c r="B18" s="7">
        <v>747</v>
      </c>
      <c r="C18" s="8">
        <v>2650507</v>
      </c>
      <c r="D18" s="8">
        <v>2645205</v>
      </c>
      <c r="E18" s="9">
        <v>10032882</v>
      </c>
      <c r="G18" s="4" t="b">
        <f t="shared" si="0"/>
        <v>1</v>
      </c>
      <c r="H18" s="4" t="b">
        <f t="shared" si="1"/>
        <v>1</v>
      </c>
      <c r="I18" s="4" t="b">
        <f t="shared" si="2"/>
        <v>1</v>
      </c>
      <c r="J18" s="4" t="b">
        <f t="shared" si="3"/>
        <v>1</v>
      </c>
      <c r="K18" s="4" t="b">
        <f t="shared" si="4"/>
        <v>1</v>
      </c>
      <c r="M18" s="6">
        <v>46127</v>
      </c>
      <c r="N18" s="7">
        <v>747</v>
      </c>
      <c r="O18" s="8">
        <v>2650500.0299999998</v>
      </c>
      <c r="P18" s="8">
        <v>2645198.12</v>
      </c>
      <c r="Q18" s="9">
        <v>10032866.1</v>
      </c>
    </row>
    <row r="19" spans="1:17">
      <c r="A19" s="6">
        <v>46131</v>
      </c>
      <c r="B19" s="7">
        <v>747</v>
      </c>
      <c r="C19" s="8">
        <v>2622818</v>
      </c>
      <c r="D19" s="8">
        <v>2616740</v>
      </c>
      <c r="E19" s="9">
        <v>9961731</v>
      </c>
      <c r="G19" s="4" t="b">
        <f t="shared" si="0"/>
        <v>1</v>
      </c>
      <c r="H19" s="4" t="b">
        <f t="shared" si="1"/>
        <v>1</v>
      </c>
      <c r="I19" s="4" t="b">
        <f t="shared" si="2"/>
        <v>1</v>
      </c>
      <c r="J19" s="4" t="b">
        <f t="shared" si="3"/>
        <v>1</v>
      </c>
      <c r="K19" s="4" t="b">
        <f t="shared" si="4"/>
        <v>1</v>
      </c>
      <c r="M19" s="6">
        <v>46131</v>
      </c>
      <c r="N19" s="7">
        <v>747</v>
      </c>
      <c r="O19" s="8">
        <v>2622815.44</v>
      </c>
      <c r="P19" s="8">
        <v>2616737.27</v>
      </c>
      <c r="Q19" s="9">
        <v>9961717.7799999993</v>
      </c>
    </row>
    <row r="20" spans="1:17">
      <c r="A20" s="6">
        <v>46134</v>
      </c>
      <c r="B20" s="7">
        <v>754</v>
      </c>
      <c r="C20" s="8">
        <v>2561843</v>
      </c>
      <c r="D20" s="8">
        <v>2555765</v>
      </c>
      <c r="E20" s="9">
        <v>9859422</v>
      </c>
      <c r="G20" s="4" t="b">
        <f t="shared" si="0"/>
        <v>1</v>
      </c>
      <c r="H20" s="4" t="b">
        <f t="shared" si="1"/>
        <v>1</v>
      </c>
      <c r="I20" s="4" t="b">
        <f t="shared" si="2"/>
        <v>1</v>
      </c>
      <c r="J20" s="4" t="b">
        <f t="shared" si="3"/>
        <v>1</v>
      </c>
      <c r="K20" s="4" t="b">
        <f t="shared" si="4"/>
        <v>1</v>
      </c>
      <c r="M20" s="6">
        <v>46134</v>
      </c>
      <c r="N20" s="7">
        <v>754</v>
      </c>
      <c r="O20" s="8">
        <v>2561840.02</v>
      </c>
      <c r="P20" s="8">
        <v>2555761.85</v>
      </c>
      <c r="Q20" s="9">
        <v>9859408.1600000001</v>
      </c>
    </row>
    <row r="21" spans="1:17">
      <c r="A21" s="6">
        <v>46138</v>
      </c>
      <c r="B21" s="7">
        <v>754</v>
      </c>
      <c r="C21" s="8">
        <v>2611128</v>
      </c>
      <c r="D21" s="8">
        <v>2604917</v>
      </c>
      <c r="E21" s="9">
        <v>9841820</v>
      </c>
      <c r="G21" s="4" t="b">
        <f t="shared" si="0"/>
        <v>1</v>
      </c>
      <c r="H21" s="4" t="b">
        <f t="shared" si="1"/>
        <v>1</v>
      </c>
      <c r="I21" s="4" t="b">
        <f t="shared" si="2"/>
        <v>1</v>
      </c>
      <c r="J21" s="4" t="b">
        <f t="shared" si="3"/>
        <v>1</v>
      </c>
      <c r="K21" s="4" t="b">
        <f t="shared" si="4"/>
        <v>1</v>
      </c>
      <c r="M21" s="6">
        <v>46138</v>
      </c>
      <c r="N21" s="7">
        <v>754</v>
      </c>
      <c r="O21" s="8">
        <v>2611126.4300000002</v>
      </c>
      <c r="P21" s="8">
        <v>2604915.2799999998</v>
      </c>
      <c r="Q21" s="9">
        <v>9841810.3399999999</v>
      </c>
    </row>
    <row r="22" spans="1:17">
      <c r="A22" s="6">
        <v>46141</v>
      </c>
      <c r="B22" s="7">
        <v>752</v>
      </c>
      <c r="C22" s="8">
        <v>2602359</v>
      </c>
      <c r="D22" s="8">
        <v>2594799</v>
      </c>
      <c r="E22" s="9">
        <v>9833637</v>
      </c>
      <c r="G22" s="4" t="b">
        <f t="shared" si="0"/>
        <v>1</v>
      </c>
      <c r="H22" s="4" t="b">
        <f t="shared" si="1"/>
        <v>1</v>
      </c>
      <c r="I22" s="4" t="b">
        <f t="shared" si="2"/>
        <v>1</v>
      </c>
      <c r="J22" s="4" t="b">
        <f t="shared" si="3"/>
        <v>1</v>
      </c>
      <c r="K22" s="4" t="b">
        <f t="shared" si="4"/>
        <v>1</v>
      </c>
      <c r="M22" s="6">
        <v>46141</v>
      </c>
      <c r="N22" s="7">
        <v>752</v>
      </c>
      <c r="O22" s="8">
        <v>2602354.92</v>
      </c>
      <c r="P22" s="8">
        <v>2594794.7999999998</v>
      </c>
      <c r="Q22" s="9">
        <v>9833621.5399999991</v>
      </c>
    </row>
    <row r="23" spans="1:17">
      <c r="A23" s="6">
        <v>46145</v>
      </c>
      <c r="B23" s="7">
        <v>769</v>
      </c>
      <c r="C23" s="8">
        <v>2640109</v>
      </c>
      <c r="D23" s="8">
        <v>2634829</v>
      </c>
      <c r="E23" s="9">
        <v>9841294</v>
      </c>
      <c r="G23" s="4" t="b">
        <f t="shared" si="0"/>
        <v>1</v>
      </c>
      <c r="H23" s="4" t="b">
        <f t="shared" si="1"/>
        <v>1</v>
      </c>
      <c r="I23" s="4" t="b">
        <f t="shared" si="2"/>
        <v>1</v>
      </c>
      <c r="J23" s="4" t="b">
        <f t="shared" si="3"/>
        <v>1</v>
      </c>
      <c r="K23" s="4" t="b">
        <f t="shared" si="4"/>
        <v>1</v>
      </c>
      <c r="M23" s="6">
        <v>46145</v>
      </c>
      <c r="N23" s="7">
        <v>769</v>
      </c>
      <c r="O23" s="8">
        <v>2640103.73</v>
      </c>
      <c r="P23" s="8">
        <v>2634823.61</v>
      </c>
      <c r="Q23" s="9">
        <v>9841285.4700000007</v>
      </c>
    </row>
    <row r="24" spans="1:17">
      <c r="A24" s="6">
        <v>46148</v>
      </c>
      <c r="B24" s="7">
        <v>787</v>
      </c>
      <c r="C24" s="8">
        <v>2809874</v>
      </c>
      <c r="D24" s="8">
        <v>2798161</v>
      </c>
      <c r="E24" s="9">
        <v>10252290</v>
      </c>
      <c r="G24" s="4" t="b">
        <f t="shared" si="0"/>
        <v>1</v>
      </c>
      <c r="H24" s="4" t="b">
        <f t="shared" si="1"/>
        <v>1</v>
      </c>
      <c r="I24" s="4" t="b">
        <f t="shared" si="2"/>
        <v>1</v>
      </c>
      <c r="J24" s="4" t="b">
        <f t="shared" si="3"/>
        <v>1</v>
      </c>
      <c r="K24" s="4" t="b">
        <f t="shared" si="4"/>
        <v>1</v>
      </c>
      <c r="M24" s="6">
        <v>46148</v>
      </c>
      <c r="N24" s="7">
        <v>787</v>
      </c>
      <c r="O24" s="8">
        <v>2809867.67</v>
      </c>
      <c r="P24" s="8">
        <v>2798154.17</v>
      </c>
      <c r="Q24" s="9">
        <v>10252282.5</v>
      </c>
    </row>
    <row r="25" spans="1:17">
      <c r="A25" s="6">
        <v>46152</v>
      </c>
      <c r="B25" s="7">
        <v>753</v>
      </c>
      <c r="C25" s="8">
        <v>2715871</v>
      </c>
      <c r="D25" s="8">
        <v>2710998</v>
      </c>
      <c r="E25" s="9">
        <v>9955652</v>
      </c>
      <c r="G25" s="4" t="b">
        <f t="shared" si="0"/>
        <v>1</v>
      </c>
      <c r="H25" s="4" t="b">
        <f t="shared" si="1"/>
        <v>1</v>
      </c>
      <c r="I25" s="4" t="b">
        <f t="shared" si="2"/>
        <v>1</v>
      </c>
      <c r="J25" s="4" t="b">
        <f t="shared" si="3"/>
        <v>1</v>
      </c>
      <c r="K25" s="4" t="b">
        <f t="shared" si="4"/>
        <v>1</v>
      </c>
      <c r="M25" s="6">
        <v>46152</v>
      </c>
      <c r="N25" s="7">
        <v>753</v>
      </c>
      <c r="O25" s="8">
        <v>2715863.91</v>
      </c>
      <c r="P25" s="8">
        <v>2710990.45</v>
      </c>
      <c r="Q25" s="9">
        <v>9955638.1600000001</v>
      </c>
    </row>
    <row r="26" spans="1:17">
      <c r="A26" s="6">
        <v>46155</v>
      </c>
      <c r="B26" s="7">
        <v>744</v>
      </c>
      <c r="C26" s="8">
        <v>2733021</v>
      </c>
      <c r="D26" s="8">
        <v>2729446</v>
      </c>
      <c r="E26" s="9">
        <v>9914227</v>
      </c>
      <c r="G26" s="4" t="b">
        <f t="shared" si="0"/>
        <v>1</v>
      </c>
      <c r="H26" s="4" t="b">
        <f t="shared" si="1"/>
        <v>1</v>
      </c>
      <c r="I26" s="4" t="b">
        <f t="shared" si="2"/>
        <v>1</v>
      </c>
      <c r="J26" s="4" t="b">
        <f t="shared" si="3"/>
        <v>1</v>
      </c>
      <c r="K26" s="4" t="b">
        <f t="shared" si="4"/>
        <v>1</v>
      </c>
      <c r="M26" s="6">
        <v>46155</v>
      </c>
      <c r="N26" s="7">
        <v>744</v>
      </c>
      <c r="O26" s="8">
        <v>2733011.91</v>
      </c>
      <c r="P26" s="8">
        <v>2729436.46</v>
      </c>
      <c r="Q26" s="9">
        <v>9914216.6899999995</v>
      </c>
    </row>
    <row r="27" spans="1:17">
      <c r="A27" s="6">
        <v>46159</v>
      </c>
      <c r="B27" s="7">
        <v>754</v>
      </c>
      <c r="C27" s="8">
        <v>2878553</v>
      </c>
      <c r="D27" s="8">
        <v>2875017</v>
      </c>
      <c r="E27" s="9">
        <v>10097596</v>
      </c>
      <c r="G27" s="4" t="b">
        <f t="shared" si="0"/>
        <v>1</v>
      </c>
      <c r="H27" s="4" t="b">
        <f t="shared" si="1"/>
        <v>1</v>
      </c>
      <c r="I27" s="4" t="b">
        <f t="shared" si="2"/>
        <v>1</v>
      </c>
      <c r="J27" s="4" t="b">
        <f t="shared" si="3"/>
        <v>1</v>
      </c>
      <c r="K27" s="4" t="b">
        <f t="shared" si="4"/>
        <v>1</v>
      </c>
      <c r="M27" s="6">
        <v>46159</v>
      </c>
      <c r="N27" s="7">
        <v>754</v>
      </c>
      <c r="O27" s="8">
        <v>2878545.47</v>
      </c>
      <c r="P27" s="8">
        <v>2875008.84</v>
      </c>
      <c r="Q27" s="9">
        <v>10097588.039999999</v>
      </c>
    </row>
    <row r="28" spans="1:17">
      <c r="A28" s="6">
        <v>46162</v>
      </c>
      <c r="B28" s="7">
        <v>742</v>
      </c>
      <c r="C28" s="8">
        <v>2768202</v>
      </c>
      <c r="D28" s="8">
        <v>2765460</v>
      </c>
      <c r="E28" s="9">
        <v>9712938</v>
      </c>
      <c r="G28" s="4" t="b">
        <f t="shared" si="0"/>
        <v>1</v>
      </c>
      <c r="H28" s="4" t="b">
        <f t="shared" si="1"/>
        <v>1</v>
      </c>
      <c r="I28" s="4" t="b">
        <f t="shared" si="2"/>
        <v>1</v>
      </c>
      <c r="J28" s="4" t="b">
        <f t="shared" si="3"/>
        <v>1</v>
      </c>
      <c r="K28" s="4" t="b">
        <f t="shared" si="4"/>
        <v>1</v>
      </c>
      <c r="M28" s="6">
        <v>46162</v>
      </c>
      <c r="N28" s="7">
        <v>742</v>
      </c>
      <c r="O28" s="8">
        <v>2768199.72</v>
      </c>
      <c r="P28" s="8">
        <v>2765458.07</v>
      </c>
      <c r="Q28" s="9">
        <v>9712928.0099999998</v>
      </c>
    </row>
    <row r="29" spans="1:17">
      <c r="A29" s="6">
        <v>46166</v>
      </c>
      <c r="B29" s="7">
        <v>740</v>
      </c>
      <c r="C29" s="8">
        <v>2861307</v>
      </c>
      <c r="D29" s="8">
        <v>2854195</v>
      </c>
      <c r="E29" s="9">
        <v>9886234</v>
      </c>
      <c r="G29" s="4" t="b">
        <f t="shared" si="0"/>
        <v>1</v>
      </c>
      <c r="H29" s="4" t="b">
        <f t="shared" si="1"/>
        <v>1</v>
      </c>
      <c r="I29" s="4" t="b">
        <f t="shared" si="2"/>
        <v>1</v>
      </c>
      <c r="J29" s="4" t="b">
        <f t="shared" si="3"/>
        <v>1</v>
      </c>
      <c r="K29" s="4" t="b">
        <f t="shared" si="4"/>
        <v>1</v>
      </c>
      <c r="M29" s="6">
        <v>46166</v>
      </c>
      <c r="N29" s="7">
        <v>740</v>
      </c>
      <c r="O29" s="8">
        <v>2861301.84</v>
      </c>
      <c r="P29" s="8">
        <v>2854189.87</v>
      </c>
      <c r="Q29" s="9">
        <v>9886226.0199999996</v>
      </c>
    </row>
    <row r="30" spans="1:17">
      <c r="A30" s="6">
        <v>46169</v>
      </c>
      <c r="B30" s="7">
        <v>746</v>
      </c>
      <c r="C30" s="8">
        <v>2869808</v>
      </c>
      <c r="D30" s="8">
        <v>2862557</v>
      </c>
      <c r="E30" s="9">
        <v>10060748</v>
      </c>
      <c r="G30" s="4" t="b">
        <f t="shared" si="0"/>
        <v>1</v>
      </c>
      <c r="H30" s="4" t="b">
        <f t="shared" si="1"/>
        <v>1</v>
      </c>
      <c r="I30" s="4" t="b">
        <f t="shared" si="2"/>
        <v>1</v>
      </c>
      <c r="J30" s="4" t="b">
        <f t="shared" si="3"/>
        <v>1</v>
      </c>
      <c r="K30" s="4" t="b">
        <f t="shared" si="4"/>
        <v>1</v>
      </c>
      <c r="M30" s="6">
        <v>46169</v>
      </c>
      <c r="N30" s="7">
        <v>746</v>
      </c>
      <c r="O30" s="8">
        <v>2869802.68</v>
      </c>
      <c r="P30" s="8">
        <v>2862551.67</v>
      </c>
      <c r="Q30" s="9">
        <v>10060742.16</v>
      </c>
    </row>
    <row r="31" spans="1:17">
      <c r="A31" s="6">
        <v>46173</v>
      </c>
      <c r="B31" s="7">
        <v>745</v>
      </c>
      <c r="C31" s="8">
        <v>2722311</v>
      </c>
      <c r="D31" s="8">
        <v>2715060</v>
      </c>
      <c r="E31" s="9">
        <v>9454249</v>
      </c>
      <c r="G31" s="4" t="b">
        <f t="shared" si="0"/>
        <v>1</v>
      </c>
      <c r="H31" s="4" t="b">
        <f t="shared" si="1"/>
        <v>1</v>
      </c>
      <c r="I31" s="4" t="b">
        <f t="shared" si="2"/>
        <v>1</v>
      </c>
      <c r="J31" s="4" t="b">
        <f t="shared" si="3"/>
        <v>1</v>
      </c>
      <c r="K31" s="4" t="b">
        <f t="shared" si="4"/>
        <v>1</v>
      </c>
      <c r="M31" s="6">
        <v>46173</v>
      </c>
      <c r="N31" s="7">
        <v>745</v>
      </c>
      <c r="O31" s="8">
        <v>2722307.99</v>
      </c>
      <c r="P31" s="8">
        <v>2715056.99</v>
      </c>
      <c r="Q31" s="9">
        <v>9454243.0600000005</v>
      </c>
    </row>
    <row r="32" spans="1:17">
      <c r="A32" s="6">
        <v>46176</v>
      </c>
      <c r="B32" s="7">
        <v>759</v>
      </c>
      <c r="C32" s="8">
        <v>2866711</v>
      </c>
      <c r="D32" s="8">
        <v>2864761</v>
      </c>
      <c r="E32" s="9">
        <v>9767635</v>
      </c>
      <c r="G32" s="4" t="b">
        <f t="shared" si="0"/>
        <v>1</v>
      </c>
      <c r="H32" s="4" t="b">
        <f t="shared" si="1"/>
        <v>1</v>
      </c>
      <c r="I32" s="4" t="b">
        <f t="shared" si="2"/>
        <v>1</v>
      </c>
      <c r="J32" s="4" t="b">
        <f t="shared" si="3"/>
        <v>1</v>
      </c>
      <c r="K32" s="4" t="b">
        <f t="shared" si="4"/>
        <v>1</v>
      </c>
      <c r="M32" s="6">
        <v>46176</v>
      </c>
      <c r="N32" s="7">
        <v>759</v>
      </c>
      <c r="O32" s="8">
        <v>2866706.49</v>
      </c>
      <c r="P32" s="8">
        <v>2864756.49</v>
      </c>
      <c r="Q32" s="9">
        <v>9767632.1099999994</v>
      </c>
    </row>
    <row r="33" spans="1:17">
      <c r="A33" s="6">
        <v>46180</v>
      </c>
      <c r="B33" s="7">
        <v>779</v>
      </c>
      <c r="C33" s="8">
        <v>2888806</v>
      </c>
      <c r="D33" s="8">
        <v>2882414</v>
      </c>
      <c r="E33" s="9">
        <v>9773474</v>
      </c>
      <c r="G33" s="4" t="b">
        <f t="shared" si="0"/>
        <v>1</v>
      </c>
      <c r="H33" s="4" t="b">
        <f t="shared" si="1"/>
        <v>1</v>
      </c>
      <c r="I33" s="4" t="b">
        <f t="shared" si="2"/>
        <v>1</v>
      </c>
      <c r="J33" s="4" t="b">
        <f t="shared" si="3"/>
        <v>1</v>
      </c>
      <c r="K33" s="4" t="b">
        <f t="shared" si="4"/>
        <v>1</v>
      </c>
      <c r="M33" s="6">
        <v>46180</v>
      </c>
      <c r="N33" s="7">
        <v>779</v>
      </c>
      <c r="O33" s="8">
        <v>2888801.36</v>
      </c>
      <c r="P33" s="8">
        <v>2882409.88</v>
      </c>
      <c r="Q33" s="9">
        <v>9773477.2300000004</v>
      </c>
    </row>
    <row r="34" spans="1:17">
      <c r="A34" s="6">
        <v>46183</v>
      </c>
      <c r="B34" s="7">
        <v>805</v>
      </c>
      <c r="C34" s="8">
        <v>3041626</v>
      </c>
      <c r="D34" s="8">
        <v>3034512</v>
      </c>
      <c r="E34" s="9">
        <v>10023512</v>
      </c>
      <c r="G34" s="4" t="b">
        <f t="shared" si="0"/>
        <v>1</v>
      </c>
      <c r="H34" s="4" t="b">
        <f t="shared" si="1"/>
        <v>1</v>
      </c>
      <c r="I34" s="4" t="b">
        <f t="shared" si="2"/>
        <v>1</v>
      </c>
      <c r="J34" s="4" t="b">
        <f t="shared" si="3"/>
        <v>1</v>
      </c>
      <c r="K34" s="4" t="b">
        <f t="shared" si="4"/>
        <v>1</v>
      </c>
      <c r="M34" s="6">
        <v>46183</v>
      </c>
      <c r="N34" s="7">
        <v>805</v>
      </c>
      <c r="O34" s="8">
        <v>3041620.47</v>
      </c>
      <c r="P34" s="8">
        <v>3034507.01</v>
      </c>
      <c r="Q34" s="9">
        <v>10023513.18</v>
      </c>
    </row>
    <row r="35" spans="1:17">
      <c r="A35" s="6">
        <v>46187</v>
      </c>
      <c r="B35" s="7">
        <v>759</v>
      </c>
      <c r="C35" s="8">
        <v>2919681</v>
      </c>
      <c r="D35" s="8">
        <v>2915379</v>
      </c>
      <c r="E35" s="9">
        <v>9730227</v>
      </c>
      <c r="G35" s="4" t="b">
        <f t="shared" si="0"/>
        <v>1</v>
      </c>
      <c r="H35" s="4" t="b">
        <f t="shared" si="1"/>
        <v>1</v>
      </c>
      <c r="I35" s="4" t="b">
        <f t="shared" si="2"/>
        <v>1</v>
      </c>
      <c r="J35" s="4" t="b">
        <f t="shared" si="3"/>
        <v>1</v>
      </c>
      <c r="K35" s="4" t="b">
        <f t="shared" si="4"/>
        <v>1</v>
      </c>
      <c r="M35" s="6">
        <v>46187</v>
      </c>
      <c r="N35" s="7">
        <v>759</v>
      </c>
      <c r="O35" s="8">
        <v>2919678.91</v>
      </c>
      <c r="P35" s="8">
        <v>2915377.41</v>
      </c>
      <c r="Q35" s="9">
        <v>9730227.2799999993</v>
      </c>
    </row>
    <row r="36" spans="1:17">
      <c r="A36" s="6">
        <v>46190</v>
      </c>
      <c r="B36" s="7">
        <v>743</v>
      </c>
      <c r="C36" s="8">
        <v>2716766</v>
      </c>
      <c r="D36" s="8">
        <v>2713615</v>
      </c>
      <c r="E36" s="9">
        <v>9251045</v>
      </c>
      <c r="G36" s="4" t="b">
        <f t="shared" si="0"/>
        <v>1</v>
      </c>
      <c r="H36" s="4" t="b">
        <f t="shared" si="1"/>
        <v>1</v>
      </c>
      <c r="I36" s="4" t="b">
        <f t="shared" si="2"/>
        <v>1</v>
      </c>
      <c r="J36" s="4" t="b">
        <f t="shared" si="3"/>
        <v>1</v>
      </c>
      <c r="K36" s="4" t="b">
        <f t="shared" si="4"/>
        <v>1</v>
      </c>
      <c r="M36" s="6">
        <v>46190</v>
      </c>
      <c r="N36" s="7">
        <v>743</v>
      </c>
      <c r="O36" s="8">
        <v>2716760.32</v>
      </c>
      <c r="P36" s="8">
        <v>2713609.73</v>
      </c>
      <c r="Q36" s="9">
        <v>9251046.6600000001</v>
      </c>
    </row>
    <row r="37" spans="1:17">
      <c r="A37" s="6">
        <v>46194</v>
      </c>
      <c r="B37" s="7">
        <v>747</v>
      </c>
      <c r="C37" s="8">
        <v>2543184</v>
      </c>
      <c r="D37" s="8">
        <v>2537516</v>
      </c>
      <c r="E37" s="9">
        <v>8952512</v>
      </c>
      <c r="G37" s="4" t="b">
        <f t="shared" si="0"/>
        <v>1</v>
      </c>
      <c r="H37" s="4" t="b">
        <f t="shared" si="1"/>
        <v>1</v>
      </c>
      <c r="I37" s="4" t="b">
        <f t="shared" si="2"/>
        <v>1</v>
      </c>
      <c r="J37" s="4" t="b">
        <f t="shared" si="3"/>
        <v>1</v>
      </c>
      <c r="K37" s="4" t="b">
        <f t="shared" si="4"/>
        <v>1</v>
      </c>
      <c r="M37" s="6">
        <v>46194</v>
      </c>
      <c r="N37" s="7">
        <v>747</v>
      </c>
      <c r="O37" s="8">
        <v>2543175.5299999998</v>
      </c>
      <c r="P37" s="8">
        <v>2537507.73</v>
      </c>
      <c r="Q37" s="9">
        <v>8952512.3200000003</v>
      </c>
    </row>
    <row r="38" spans="1:17">
      <c r="A38" s="6">
        <v>46197</v>
      </c>
      <c r="B38" s="7">
        <v>729</v>
      </c>
      <c r="C38" s="8">
        <v>2638488</v>
      </c>
      <c r="D38" s="8">
        <v>2628108</v>
      </c>
      <c r="E38" s="9">
        <v>9108236</v>
      </c>
      <c r="G38" s="4" t="b">
        <f t="shared" si="0"/>
        <v>1</v>
      </c>
      <c r="H38" s="4" t="b">
        <f t="shared" si="1"/>
        <v>1</v>
      </c>
      <c r="I38" s="4" t="b">
        <f t="shared" si="2"/>
        <v>1</v>
      </c>
      <c r="J38" s="4" t="b">
        <f t="shared" si="3"/>
        <v>1</v>
      </c>
      <c r="K38" s="4" t="b">
        <f t="shared" si="4"/>
        <v>1</v>
      </c>
      <c r="M38" s="6">
        <v>46197</v>
      </c>
      <c r="N38" s="7">
        <v>729</v>
      </c>
      <c r="O38" s="8">
        <v>2638479.33</v>
      </c>
      <c r="P38" s="8">
        <v>2628099.6</v>
      </c>
      <c r="Q38" s="9">
        <v>9108231.1099999994</v>
      </c>
    </row>
    <row r="39" spans="1:17">
      <c r="A39" s="6">
        <v>46201</v>
      </c>
      <c r="B39" s="7">
        <v>737</v>
      </c>
      <c r="C39" s="8">
        <v>2549060</v>
      </c>
      <c r="D39" s="8">
        <v>2541719</v>
      </c>
      <c r="E39" s="9">
        <v>8831300</v>
      </c>
      <c r="G39" s="4" t="b">
        <f t="shared" si="0"/>
        <v>1</v>
      </c>
      <c r="H39" s="4" t="b">
        <f t="shared" si="1"/>
        <v>1</v>
      </c>
      <c r="I39" s="4" t="b">
        <f t="shared" si="2"/>
        <v>1</v>
      </c>
      <c r="J39" s="4" t="b">
        <f t="shared" si="3"/>
        <v>1</v>
      </c>
      <c r="K39" s="4" t="b">
        <f t="shared" si="4"/>
        <v>1</v>
      </c>
      <c r="M39" s="6">
        <v>46201</v>
      </c>
      <c r="N39" s="7">
        <v>737</v>
      </c>
      <c r="O39" s="8">
        <v>2549050.27</v>
      </c>
      <c r="P39" s="8">
        <v>2541709.29</v>
      </c>
      <c r="Q39" s="9">
        <v>8831290.4399999995</v>
      </c>
    </row>
    <row r="40" spans="1:17">
      <c r="A40" s="6">
        <v>46204</v>
      </c>
      <c r="B40" s="7">
        <v>737</v>
      </c>
      <c r="C40" s="8">
        <v>2493886</v>
      </c>
      <c r="D40" s="8">
        <v>2484721</v>
      </c>
      <c r="E40" s="9">
        <v>8835098</v>
      </c>
      <c r="G40" s="4" t="b">
        <f t="shared" si="0"/>
        <v>1</v>
      </c>
      <c r="H40" s="4" t="b">
        <f t="shared" si="1"/>
        <v>1</v>
      </c>
      <c r="I40" s="4" t="b">
        <f t="shared" si="2"/>
        <v>1</v>
      </c>
      <c r="J40" s="4" t="b">
        <f t="shared" si="3"/>
        <v>1</v>
      </c>
      <c r="K40" s="4" t="b">
        <f t="shared" si="4"/>
        <v>1</v>
      </c>
      <c r="M40" s="6">
        <v>46204</v>
      </c>
      <c r="N40" s="7">
        <v>737</v>
      </c>
      <c r="O40" s="8">
        <v>2493877.41</v>
      </c>
      <c r="P40" s="8">
        <v>2484712.4500000002</v>
      </c>
      <c r="Q40" s="9">
        <v>8835086.8200000003</v>
      </c>
    </row>
    <row r="41" spans="1:17">
      <c r="A41" s="6">
        <v>46208</v>
      </c>
      <c r="B41" s="7">
        <v>754</v>
      </c>
      <c r="C41" s="8">
        <v>2482182</v>
      </c>
      <c r="D41" s="8">
        <v>2477919</v>
      </c>
      <c r="E41" s="9">
        <v>8771648</v>
      </c>
      <c r="G41" s="4" t="b">
        <f t="shared" si="0"/>
        <v>1</v>
      </c>
      <c r="H41" s="4" t="b">
        <f t="shared" si="1"/>
        <v>1</v>
      </c>
      <c r="I41" s="4" t="b">
        <f t="shared" si="2"/>
        <v>1</v>
      </c>
      <c r="J41" s="4" t="b">
        <f t="shared" si="3"/>
        <v>1</v>
      </c>
      <c r="K41" s="4" t="b">
        <f t="shared" si="4"/>
        <v>1</v>
      </c>
      <c r="M41" s="6">
        <v>46208</v>
      </c>
      <c r="N41" s="7">
        <v>754</v>
      </c>
      <c r="O41" s="8">
        <v>2482172.48</v>
      </c>
      <c r="P41" s="8">
        <v>2477909.4500000002</v>
      </c>
      <c r="Q41" s="9">
        <v>8771636.3200000003</v>
      </c>
    </row>
    <row r="42" spans="1:17">
      <c r="A42" s="6">
        <v>46211</v>
      </c>
      <c r="B42" s="7">
        <v>756</v>
      </c>
      <c r="C42" s="8">
        <v>2579184</v>
      </c>
      <c r="D42" s="8">
        <v>2573818</v>
      </c>
      <c r="E42" s="9">
        <v>8893417</v>
      </c>
      <c r="G42" s="4" t="b">
        <f t="shared" si="0"/>
        <v>1</v>
      </c>
      <c r="H42" s="4" t="b">
        <f t="shared" si="1"/>
        <v>1</v>
      </c>
      <c r="I42" s="4" t="b">
        <f t="shared" si="2"/>
        <v>1</v>
      </c>
      <c r="J42" s="4" t="b">
        <f t="shared" si="3"/>
        <v>1</v>
      </c>
      <c r="K42" s="4" t="b">
        <f t="shared" si="4"/>
        <v>1</v>
      </c>
      <c r="M42" s="6">
        <v>46211</v>
      </c>
      <c r="N42" s="7">
        <v>756</v>
      </c>
      <c r="O42" s="8">
        <v>2579175.61</v>
      </c>
      <c r="P42" s="8">
        <v>2573809.77</v>
      </c>
      <c r="Q42" s="9">
        <v>8893407.9600000009</v>
      </c>
    </row>
    <row r="43" spans="1:17">
      <c r="A43" s="6">
        <v>46215</v>
      </c>
      <c r="B43" s="7">
        <v>754</v>
      </c>
      <c r="C43" s="8">
        <v>2599877</v>
      </c>
      <c r="D43" s="8">
        <v>2594720</v>
      </c>
      <c r="E43" s="9">
        <v>9055287</v>
      </c>
      <c r="G43" s="4" t="b">
        <f t="shared" si="0"/>
        <v>1</v>
      </c>
      <c r="H43" s="4" t="b">
        <f t="shared" si="1"/>
        <v>1</v>
      </c>
      <c r="I43" s="4" t="b">
        <f t="shared" si="2"/>
        <v>1</v>
      </c>
      <c r="J43" s="4" t="b">
        <f t="shared" si="3"/>
        <v>1</v>
      </c>
      <c r="K43" s="4" t="b">
        <f t="shared" si="4"/>
        <v>1</v>
      </c>
      <c r="M43" s="6">
        <v>46215</v>
      </c>
      <c r="N43" s="7">
        <v>754</v>
      </c>
      <c r="O43" s="8">
        <v>2599868.91</v>
      </c>
      <c r="P43" s="8">
        <v>2594712.06</v>
      </c>
      <c r="Q43" s="9">
        <v>9055277.2100000009</v>
      </c>
    </row>
    <row r="44" spans="1:17">
      <c r="A44" s="6">
        <v>46218</v>
      </c>
      <c r="B44" s="7">
        <v>779</v>
      </c>
      <c r="C44" s="8">
        <v>2562492</v>
      </c>
      <c r="D44" s="8">
        <v>2557422</v>
      </c>
      <c r="E44" s="9">
        <v>9010008</v>
      </c>
      <c r="G44" s="4" t="b">
        <f t="shared" si="0"/>
        <v>1</v>
      </c>
      <c r="H44" s="4" t="b">
        <f t="shared" si="1"/>
        <v>1</v>
      </c>
      <c r="I44" s="4" t="b">
        <f t="shared" si="2"/>
        <v>1</v>
      </c>
      <c r="J44" s="4" t="b">
        <f t="shared" si="3"/>
        <v>1</v>
      </c>
      <c r="K44" s="4" t="b">
        <f t="shared" si="4"/>
        <v>1</v>
      </c>
      <c r="M44" s="6">
        <v>46218</v>
      </c>
      <c r="N44" s="7">
        <v>779</v>
      </c>
      <c r="O44" s="8">
        <v>2562482.19</v>
      </c>
      <c r="P44" s="8">
        <v>2557412.69</v>
      </c>
      <c r="Q44" s="9">
        <v>9010004.0199999996</v>
      </c>
    </row>
    <row r="46" spans="1:17">
      <c r="A46" s="5" t="s">
        <v>23</v>
      </c>
      <c r="B46" s="10">
        <f>SUM(B10:B44)</f>
        <v>26172</v>
      </c>
      <c r="C46" s="11">
        <f>SUM(C10:C44)</f>
        <v>93403124</v>
      </c>
      <c r="D46" s="11">
        <f>SUM(D10:D44)</f>
        <v>93329183</v>
      </c>
      <c r="E46" s="12">
        <f>SUM(E10:E44)</f>
        <v>330113846</v>
      </c>
      <c r="G46" s="5" t="b">
        <f>IFERROR(INT(A46)=INT(M46),EXACT(A46&amp;"",M46&amp;""))</f>
        <v>1</v>
      </c>
      <c r="H46" s="5" t="b">
        <f>ROUND(B46,0)=ROUND(N46,0)</f>
        <v>1</v>
      </c>
      <c r="I46" s="5" t="b">
        <f>IFERROR(ABS(C46-O46)/O46&lt;=0.001,FALSE)</f>
        <v>1</v>
      </c>
      <c r="J46" s="5" t="b">
        <f>IFERROR(ABS(D46-P46)/P46&lt;=0.001,FALSE)</f>
        <v>1</v>
      </c>
      <c r="K46" s="5" t="b">
        <f>IFERROR(ABS(E46-Q46)/Q46&lt;=0.001,FALSE)</f>
        <v>1</v>
      </c>
      <c r="M46" s="5" t="s">
        <v>23</v>
      </c>
      <c r="N46" s="10">
        <f>SUM(N10:N44)</f>
        <v>26172</v>
      </c>
      <c r="O46" s="11">
        <f>SUM(O10:O44)</f>
        <v>93402892.819999993</v>
      </c>
      <c r="P46" s="11">
        <f>SUM(P10:P44)</f>
        <v>93328953.400000021</v>
      </c>
      <c r="Q46" s="12">
        <f>SUM(Q10:Q44)</f>
        <v>330113478.71999985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/>
  <cols>
    <col min="3" max="3" width="90.7109375" customWidth="1"/>
  </cols>
  <sheetData>
    <row r="1" spans="1:2">
      <c r="A1" s="5" t="s">
        <v>24</v>
      </c>
    </row>
    <row r="2" spans="1:2">
      <c r="A2" s="4" t="s">
        <v>25</v>
      </c>
      <c r="B2" s="4" t="s">
        <v>26</v>
      </c>
    </row>
    <row r="3" spans="1:2">
      <c r="A3" s="4" t="s">
        <v>27</v>
      </c>
    </row>
    <row r="5" spans="1:2">
      <c r="A5" s="4" t="s">
        <v>28</v>
      </c>
      <c r="B5" s="4" t="s">
        <v>26</v>
      </c>
    </row>
    <row r="6" spans="1:2">
      <c r="A6" s="4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20265D98-0DC8-4259-818F-E1C8F39101E1}"/>
</file>

<file path=customXml/itemProps2.xml><?xml version="1.0" encoding="utf-8"?>
<ds:datastoreItem xmlns:ds="http://schemas.openxmlformats.org/officeDocument/2006/customXml" ds:itemID="{C1263024-96BD-44FC-8962-32765F86A1B0}"/>
</file>

<file path=customXml/itemProps3.xml><?xml version="1.0" encoding="utf-8"?>
<ds:datastoreItem xmlns:ds="http://schemas.openxmlformats.org/officeDocument/2006/customXml" ds:itemID="{E60941B2-0011-44B2-A608-2D6727271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2026-07-18T01:51:00Z</dcterms:created>
  <dcterms:modified xsi:type="dcterms:W3CDTF">2026-07-23T19:34:52Z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