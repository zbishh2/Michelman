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B6B14D7A-25E7-464B-8BF0-F45D2829AC0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Notes" sheetId="1" r:id="rId1"/>
    <sheet name="Comparison" sheetId="2" r:id="rId2"/>
    <sheet name="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8" i="2" l="1"/>
  <c r="Z28" i="2"/>
  <c r="Y28" i="2"/>
  <c r="X28" i="2"/>
  <c r="W28" i="2"/>
  <c r="V28" i="2"/>
  <c r="U28" i="2"/>
  <c r="T28" i="2"/>
  <c r="S28" i="2"/>
  <c r="R28" i="2"/>
  <c r="Q28" i="2"/>
  <c r="P28" i="2"/>
  <c r="O28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</calcChain>
</file>

<file path=xl/sharedStrings.xml><?xml version="1.0" encoding="utf-8"?>
<sst xmlns="http://schemas.openxmlformats.org/spreadsheetml/2006/main" count="583" uniqueCount="185">
  <si>
    <t>Purchase Order Number | Line Number</t>
  </si>
  <si>
    <t>in Cognos but not in PBI</t>
  </si>
  <si>
    <t>(none)</t>
  </si>
  <si>
    <t>in PBI but not in Cognos</t>
  </si>
  <si>
    <t>No residuals - 19 distinct PO/Line keys, all matched. REGION (PBI slicer column) excluded from compare.</t>
  </si>
  <si>
    <t>Cognos</t>
  </si>
  <si>
    <t>PO #</t>
  </si>
  <si>
    <t>Line #</t>
  </si>
  <si>
    <t>QTY</t>
  </si>
  <si>
    <t>Open QTY</t>
  </si>
  <si>
    <t>2nd QTY</t>
  </si>
  <si>
    <t>Item</t>
  </si>
  <si>
    <t>PBI</t>
  </si>
  <si>
    <t>Purchase Order Number</t>
  </si>
  <si>
    <t>Line Number</t>
  </si>
  <si>
    <t>Primary Quantity</t>
  </si>
  <si>
    <t>Open Quantity</t>
  </si>
  <si>
    <t>Secondary Quantity</t>
  </si>
  <si>
    <t>2nd Item Number</t>
  </si>
  <si>
    <t>Cognos Migration - Report ID 327 - CM - PO Live</t>
  </si>
  <si>
    <t>Data revised 7/6/2026</t>
  </si>
  <si>
    <t>Cognos filters</t>
  </si>
  <si>
    <t>Open QTY &gt; 0 (true on all 19 rows).</t>
  </si>
  <si>
    <t>Promised Date &gt;= today - 90 (rolling 90-day floor via CAST(GETDATE() AS date)).</t>
  </si>
  <si>
    <t>Bulk-item whitelist (75 codes) - every returned Bulk Item is in the hard-coded IN(...) list.</t>
  </si>
  <si>
    <t>Region prompt optional single-select (default all); Promised-date range prompt optional Between (unset in export).</t>
  </si>
  <si>
    <t>Parity quirks (no effect at one-line-per-PO grain): double-SUM + Item-Branch fan-out are no-ops (QTY = Open QTY on all 19 rows).</t>
  </si>
  <si>
    <t>Slicers</t>
  </si>
  <si>
    <t>Select the Region - single-select dropdown on REGION (Americas, Aubange, Shanghai, Singapore, Mumbai, OTHER); optional, default = all. REGION drives the slicer only (not a displayed column).</t>
  </si>
  <si>
    <t>Enter the Date Range - Between slicer on Promised Date; optional, default = today-90 forward.</t>
  </si>
  <si>
    <t>Links</t>
  </si>
  <si>
    <t>Power BI</t>
  </si>
  <si>
    <t>Pending publish to Power BI Service</t>
  </si>
  <si>
    <t>Michelman Reporting &gt; Production and Shipping &gt; Contract Manufacturing Orders &gt; Dashboard - CM Overview LIVE</t>
  </si>
  <si>
    <t>Report Location</t>
  </si>
  <si>
    <t>Note report uses JDE live data</t>
  </si>
  <si>
    <t>EDW</t>
  </si>
  <si>
    <t>CM Overview LIVE.pbix, page "CM PO Live"</t>
  </si>
  <si>
    <t>Comments</t>
  </si>
  <si>
    <t>VERDICT: CLEAN. All 19 Cognos rows tie 1:1 to the 19 PBI rows; every displayed data cell matches (247/247 = 100.00%). No real discrepancies, no regressions.</t>
  </si>
  <si>
    <t>Cognos Report</t>
  </si>
  <si>
    <t>As of 7/6/2026</t>
  </si>
  <si>
    <t>Join key (PO #, Line #). 19/19 rows match; every flag = 1.</t>
  </si>
  <si>
    <t>Compare</t>
  </si>
  <si>
    <t>Company</t>
  </si>
  <si>
    <t>Branch</t>
  </si>
  <si>
    <t>Bulk Item</t>
  </si>
  <si>
    <t>Next Status</t>
  </si>
  <si>
    <t>Requested Date</t>
  </si>
  <si>
    <t>Promised Date</t>
  </si>
  <si>
    <t>Vendor Name</t>
  </si>
  <si>
    <t>Branch Plant</t>
  </si>
  <si>
    <t>00010</t>
  </si>
  <si>
    <t>CIN2</t>
  </si>
  <si>
    <t>177205</t>
  </si>
  <si>
    <t>1</t>
  </si>
  <si>
    <t>U501</t>
  </si>
  <si>
    <t>U501-OP</t>
  </si>
  <si>
    <t>18500</t>
  </si>
  <si>
    <t>41.1111</t>
  </si>
  <si>
    <t>400</t>
  </si>
  <si>
    <t>2026-06-19</t>
  </si>
  <si>
    <t>2026-07-15</t>
  </si>
  <si>
    <t>Ortec Inc.</t>
  </si>
  <si>
    <t>6/19/2026 12:00:00 AM</t>
  </si>
  <si>
    <t>7/15/2026 12:00:00 AM</t>
  </si>
  <si>
    <t>177545</t>
  </si>
  <si>
    <t>U701</t>
  </si>
  <si>
    <t>U701-OP</t>
  </si>
  <si>
    <t>9700</t>
  </si>
  <si>
    <t>21.5556</t>
  </si>
  <si>
    <t>2026-07-06</t>
  </si>
  <si>
    <t>7/6/2026 12:00:00 AM</t>
  </si>
  <si>
    <t>00020</t>
  </si>
  <si>
    <t>AUBA</t>
  </si>
  <si>
    <t>26000744</t>
  </si>
  <si>
    <t>HP1632</t>
  </si>
  <si>
    <t>HP1632-PL</t>
  </si>
  <si>
    <t>146</t>
  </si>
  <si>
    <t>3.65</t>
  </si>
  <si>
    <t>2026-06-10</t>
  </si>
  <si>
    <t>2026-07-25</t>
  </si>
  <si>
    <t>MICHELMAN INC.</t>
  </si>
  <si>
    <t>6/10/2026 12:00:00 AM</t>
  </si>
  <si>
    <t>7/25/2026 12:00:00 AM</t>
  </si>
  <si>
    <t>AUB2</t>
  </si>
  <si>
    <t>26000397</t>
  </si>
  <si>
    <t>2</t>
  </si>
  <si>
    <t>MDU4075B.E</t>
  </si>
  <si>
    <t>MDU4075B.E-TO</t>
  </si>
  <si>
    <t>7000</t>
  </si>
  <si>
    <t>7</t>
  </si>
  <si>
    <t>2026-07-01</t>
  </si>
  <si>
    <t>2026-07-31</t>
  </si>
  <si>
    <t>Cromogenia</t>
  </si>
  <si>
    <t>7/1/2026 12:00:00 AM</t>
  </si>
  <si>
    <t>7/31/2026 12:00:00 AM</t>
  </si>
  <si>
    <t>26000700</t>
  </si>
  <si>
    <t>DPE3500</t>
  </si>
  <si>
    <t>DPE3500-T2</t>
  </si>
  <si>
    <t>36800</t>
  </si>
  <si>
    <t>16</t>
  </si>
  <si>
    <t>2026-09-01</t>
  </si>
  <si>
    <t>2026-08-03</t>
  </si>
  <si>
    <t>9/1/2026 12:00:00 AM</t>
  </si>
  <si>
    <t>8/3/2026 12:00:00 AM</t>
  </si>
  <si>
    <t>26000697</t>
  </si>
  <si>
    <t>U502.E</t>
  </si>
  <si>
    <t>U502.E-TO</t>
  </si>
  <si>
    <t>6000</t>
  </si>
  <si>
    <t>6</t>
  </si>
  <si>
    <t>2026-08-06</t>
  </si>
  <si>
    <t>ERCA Advanced Polymer Solutions SRL</t>
  </si>
  <si>
    <t>8/6/2026 12:00:00 AM</t>
  </si>
  <si>
    <t>26000698</t>
  </si>
  <si>
    <t>26000782</t>
  </si>
  <si>
    <t>10000</t>
  </si>
  <si>
    <t>10</t>
  </si>
  <si>
    <t>2026-07-30</t>
  </si>
  <si>
    <t>2026-08-12</t>
  </si>
  <si>
    <t>7/30/2026 12:00:00 AM</t>
  </si>
  <si>
    <t>8/12/2026 12:00:00 AM</t>
  </si>
  <si>
    <t>26000783</t>
  </si>
  <si>
    <t>2026-08-13</t>
  </si>
  <si>
    <t>8/13/2026 12:00:00 AM</t>
  </si>
  <si>
    <t>177691</t>
  </si>
  <si>
    <t>HP1632-T2</t>
  </si>
  <si>
    <t>34276</t>
  </si>
  <si>
    <t>15.5447</t>
  </si>
  <si>
    <t>2026-08-04</t>
  </si>
  <si>
    <t>2026-08-19</t>
  </si>
  <si>
    <t>Ascent Chemicals Danville, Inc.</t>
  </si>
  <si>
    <t>8/4/2026 12:00:00 AM</t>
  </si>
  <si>
    <t>8/19/2026 12:00:00 AM</t>
  </si>
  <si>
    <t>177778</t>
  </si>
  <si>
    <t>17138</t>
  </si>
  <si>
    <t>7.7723</t>
  </si>
  <si>
    <t>2026-08-07</t>
  </si>
  <si>
    <t>2026-08-26</t>
  </si>
  <si>
    <t>8/7/2026 12:00:00 AM</t>
  </si>
  <si>
    <t>8/26/2026 12:00:00 AM</t>
  </si>
  <si>
    <t>26000722</t>
  </si>
  <si>
    <t>MDU2012B.E</t>
  </si>
  <si>
    <t>MDU2012B.E-TO</t>
  </si>
  <si>
    <t>4000</t>
  </si>
  <si>
    <t>4</t>
  </si>
  <si>
    <t>2026-07-22</t>
  </si>
  <si>
    <t>2026-09-03</t>
  </si>
  <si>
    <t>7/22/2026 12:00:00 AM</t>
  </si>
  <si>
    <t>9/3/2026 12:00:00 AM</t>
  </si>
  <si>
    <t>178530</t>
  </si>
  <si>
    <t>2026-09-08</t>
  </si>
  <si>
    <t>9/8/2026 12:00:00 AM</t>
  </si>
  <si>
    <t>172131</t>
  </si>
  <si>
    <t>U101</t>
  </si>
  <si>
    <t>U101-OP</t>
  </si>
  <si>
    <t>2026-09-09</t>
  </si>
  <si>
    <t>9/9/2026 12:00:00 AM</t>
  </si>
  <si>
    <t>26000210</t>
  </si>
  <si>
    <t>33075</t>
  </si>
  <si>
    <t>15</t>
  </si>
  <si>
    <t>2027-03-04</t>
  </si>
  <si>
    <t>2026-10-02</t>
  </si>
  <si>
    <t>3/4/2027 12:00:00 AM</t>
  </si>
  <si>
    <t>10/2/2026 12:00:00 AM</t>
  </si>
  <si>
    <t>00030</t>
  </si>
  <si>
    <t>SNG4</t>
  </si>
  <si>
    <t>26050575</t>
  </si>
  <si>
    <t>NP4LF.S</t>
  </si>
  <si>
    <t>9381.8184</t>
  </si>
  <si>
    <t>2026-10-23</t>
  </si>
  <si>
    <t>Manufacturers Chemicals</t>
  </si>
  <si>
    <t>10/23/2026 12:00:00 AM</t>
  </si>
  <si>
    <t>26000870</t>
  </si>
  <si>
    <t>HP1632-OP</t>
  </si>
  <si>
    <t>1852</t>
  </si>
  <si>
    <t>2026-12-02</t>
  </si>
  <si>
    <t>12/2/2026 12:00:00 AM</t>
  </si>
  <si>
    <t>26000321</t>
  </si>
  <si>
    <t>15435</t>
  </si>
  <si>
    <t>2027-02-03</t>
  </si>
  <si>
    <t>2/3/2027 12:00:00 AM</t>
  </si>
  <si>
    <t>26000677</t>
  </si>
  <si>
    <t>2027-04-01</t>
  </si>
  <si>
    <t>4/1/2027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</si>
</sst>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ahoma"/>
    </font>
    <font>
      <sz val="10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7E5E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showGridLines="0" topLeftCell="A9" workbookViewId="0">
      <selection activeCell="A29" sqref="A29:XFD36"/>
    </sheetView>
  </sheetViews>
  <sheetFormatPr defaultRowHeight="15" x14ac:dyDescent="0.25"/>
  <cols>
    <col min="1" max="1" width="46" customWidth="1"/>
    <col min="3" max="4" width="46" customWidth="1"/>
  </cols>
  <sheetData>
    <row r="1" spans="1:3" ht="18" customHeight="1" x14ac:dyDescent="0.25">
      <c r="A1" s="1" t="s">
        <v>19</v>
      </c>
    </row>
    <row r="2" spans="1:3" x14ac:dyDescent="0.25">
      <c r="A2" s="2" t="s">
        <v>20</v>
      </c>
    </row>
    <row r="6" spans="1:3" x14ac:dyDescent="0.25">
      <c r="C6" s="3" t="s">
        <v>21</v>
      </c>
    </row>
    <row r="7" spans="1:3" x14ac:dyDescent="0.25">
      <c r="C7" s="2" t="s">
        <v>22</v>
      </c>
    </row>
    <row r="8" spans="1:3" x14ac:dyDescent="0.25">
      <c r="C8" s="2" t="s">
        <v>23</v>
      </c>
    </row>
    <row r="9" spans="1:3" x14ac:dyDescent="0.25">
      <c r="C9" s="2" t="s">
        <v>24</v>
      </c>
    </row>
    <row r="10" spans="1:3" x14ac:dyDescent="0.25">
      <c r="C10" s="2" t="s">
        <v>25</v>
      </c>
    </row>
    <row r="11" spans="1:3" x14ac:dyDescent="0.25">
      <c r="C11" s="2" t="s">
        <v>26</v>
      </c>
    </row>
    <row r="13" spans="1:3" x14ac:dyDescent="0.25">
      <c r="C13" s="3" t="s">
        <v>27</v>
      </c>
    </row>
    <row r="14" spans="1:3" x14ac:dyDescent="0.25">
      <c r="C14" s="2" t="s">
        <v>28</v>
      </c>
    </row>
    <row r="15" spans="1:3" x14ac:dyDescent="0.25">
      <c r="C15" s="2" t="s">
        <v>29</v>
      </c>
    </row>
    <row r="17" spans="3:4" x14ac:dyDescent="0.25">
      <c r="C17" s="3" t="s">
        <v>30</v>
      </c>
    </row>
    <row r="18" spans="3:4" x14ac:dyDescent="0.25">
      <c r="C18" s="2" t="s">
        <v>31</v>
      </c>
      <c r="D18" s="2" t="s">
        <v>32</v>
      </c>
    </row>
    <row r="19" spans="3:4" x14ac:dyDescent="0.25">
      <c r="C19" s="2" t="s">
        <v>5</v>
      </c>
      <c r="D19" s="2" t="s">
        <v>33</v>
      </c>
    </row>
    <row r="21" spans="3:4" x14ac:dyDescent="0.25">
      <c r="C21" s="3" t="s">
        <v>34</v>
      </c>
    </row>
    <row r="22" spans="3:4" x14ac:dyDescent="0.25">
      <c r="C22" s="2" t="s">
        <v>5</v>
      </c>
      <c r="D22" s="2" t="s">
        <v>33</v>
      </c>
    </row>
    <row r="23" spans="3:4" x14ac:dyDescent="0.25">
      <c r="D23" s="2" t="s">
        <v>35</v>
      </c>
    </row>
    <row r="24" spans="3:4" x14ac:dyDescent="0.25">
      <c r="C24" s="2" t="s">
        <v>36</v>
      </c>
      <c r="D24" s="2" t="s">
        <v>37</v>
      </c>
    </row>
    <row r="26" spans="3:4" x14ac:dyDescent="0.25">
      <c r="C26" s="3" t="s">
        <v>38</v>
      </c>
    </row>
    <row r="27" spans="3:4" x14ac:dyDescent="0.25">
      <c r="C27" s="2" t="s">
        <v>39</v>
      </c>
    </row>
    <row r="29" spans="3:4" x14ac:dyDescent="0.25">
      <c r="C29" s="2"/>
    </row>
    <row r="31" spans="3:4" x14ac:dyDescent="0.25">
      <c r="C31" s="2"/>
    </row>
    <row r="33" spans="3:3" x14ac:dyDescent="0.25">
      <c r="C33" s="2"/>
    </row>
    <row r="35" spans="3:3" x14ac:dyDescent="0.25">
      <c r="C3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8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46" customWidth="1"/>
    <col min="2" max="2" width="9" customWidth="1"/>
    <col min="3" max="3" width="10" customWidth="1"/>
    <col min="4" max="4" width="9" customWidth="1"/>
    <col min="5" max="5" width="12" customWidth="1"/>
    <col min="6" max="6" width="15" customWidth="1"/>
    <col min="7" max="9" width="11" customWidth="1"/>
    <col min="10" max="10" width="13" customWidth="1"/>
    <col min="11" max="11" width="16" customWidth="1"/>
    <col min="12" max="12" width="15" customWidth="1"/>
    <col min="13" max="13" width="37" customWidth="1"/>
    <col min="15" max="18" width="9" customWidth="1"/>
    <col min="19" max="19" width="11" customWidth="1"/>
    <col min="20" max="21" width="9" customWidth="1"/>
    <col min="22" max="22" width="10" customWidth="1"/>
    <col min="23" max="23" width="9" customWidth="1"/>
    <col min="24" max="24" width="13" customWidth="1"/>
    <col min="25" max="25" width="16" customWidth="1"/>
    <col min="26" max="26" width="15" customWidth="1"/>
    <col min="27" max="27" width="13" customWidth="1"/>
    <col min="29" max="29" width="9" customWidth="1"/>
    <col min="30" max="30" width="14" customWidth="1"/>
    <col min="31" max="31" width="23" customWidth="1"/>
    <col min="32" max="32" width="13" customWidth="1"/>
    <col min="33" max="33" width="12" customWidth="1"/>
    <col min="34" max="34" width="17" customWidth="1"/>
    <col min="35" max="35" width="18" customWidth="1"/>
    <col min="36" max="36" width="15" customWidth="1"/>
    <col min="37" max="37" width="20" customWidth="1"/>
    <col min="38" max="38" width="13" customWidth="1"/>
    <col min="39" max="40" width="24" customWidth="1"/>
    <col min="41" max="41" width="37" customWidth="1"/>
  </cols>
  <sheetData>
    <row r="1" spans="1:41" x14ac:dyDescent="0.25">
      <c r="A1" s="3" t="s">
        <v>40</v>
      </c>
    </row>
    <row r="2" spans="1:41" x14ac:dyDescent="0.25">
      <c r="A2" s="2" t="s">
        <v>41</v>
      </c>
    </row>
    <row r="4" spans="1:41" x14ac:dyDescent="0.25">
      <c r="A4" s="2" t="s">
        <v>42</v>
      </c>
    </row>
    <row r="7" spans="1:41" x14ac:dyDescent="0.25">
      <c r="A7" s="4" t="s">
        <v>5</v>
      </c>
      <c r="O7" s="4" t="s">
        <v>43</v>
      </c>
      <c r="AC7" s="4" t="s">
        <v>12</v>
      </c>
    </row>
    <row r="9" spans="1:41" x14ac:dyDescent="0.25">
      <c r="A9" s="5" t="s">
        <v>44</v>
      </c>
      <c r="B9" s="5" t="s">
        <v>45</v>
      </c>
      <c r="C9" s="5" t="s">
        <v>6</v>
      </c>
      <c r="D9" s="5" t="s">
        <v>7</v>
      </c>
      <c r="E9" s="5" t="s">
        <v>46</v>
      </c>
      <c r="F9" s="5" t="s">
        <v>11</v>
      </c>
      <c r="G9" s="5" t="s">
        <v>8</v>
      </c>
      <c r="H9" s="5" t="s">
        <v>9</v>
      </c>
      <c r="I9" s="5" t="s">
        <v>10</v>
      </c>
      <c r="J9" s="5" t="s">
        <v>47</v>
      </c>
      <c r="K9" s="5" t="s">
        <v>48</v>
      </c>
      <c r="L9" s="5" t="s">
        <v>49</v>
      </c>
      <c r="M9" s="5" t="s">
        <v>50</v>
      </c>
      <c r="O9" s="5" t="s">
        <v>44</v>
      </c>
      <c r="P9" s="5" t="s">
        <v>45</v>
      </c>
      <c r="Q9" s="5" t="s">
        <v>6</v>
      </c>
      <c r="R9" s="5" t="s">
        <v>7</v>
      </c>
      <c r="S9" s="5" t="s">
        <v>46</v>
      </c>
      <c r="T9" s="5" t="s">
        <v>11</v>
      </c>
      <c r="U9" s="5" t="s">
        <v>8</v>
      </c>
      <c r="V9" s="5" t="s">
        <v>9</v>
      </c>
      <c r="W9" s="5" t="s">
        <v>10</v>
      </c>
      <c r="X9" s="5" t="s">
        <v>47</v>
      </c>
      <c r="Y9" s="5" t="s">
        <v>48</v>
      </c>
      <c r="Z9" s="5" t="s">
        <v>49</v>
      </c>
      <c r="AA9" s="5" t="s">
        <v>50</v>
      </c>
      <c r="AC9" s="5" t="s">
        <v>44</v>
      </c>
      <c r="AD9" s="5" t="s">
        <v>51</v>
      </c>
      <c r="AE9" s="5" t="s">
        <v>13</v>
      </c>
      <c r="AF9" s="5" t="s">
        <v>14</v>
      </c>
      <c r="AG9" s="5" t="s">
        <v>46</v>
      </c>
      <c r="AH9" s="5" t="s">
        <v>18</v>
      </c>
      <c r="AI9" s="5" t="s">
        <v>15</v>
      </c>
      <c r="AJ9" s="5" t="s">
        <v>16</v>
      </c>
      <c r="AK9" s="5" t="s">
        <v>17</v>
      </c>
      <c r="AL9" s="5" t="s">
        <v>47</v>
      </c>
      <c r="AM9" s="5" t="s">
        <v>48</v>
      </c>
      <c r="AN9" s="5" t="s">
        <v>49</v>
      </c>
      <c r="AO9" s="5" t="s">
        <v>50</v>
      </c>
    </row>
    <row r="10" spans="1:41" x14ac:dyDescent="0.25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58</v>
      </c>
      <c r="H10" s="2" t="s">
        <v>58</v>
      </c>
      <c r="I10" s="2" t="s">
        <v>59</v>
      </c>
      <c r="J10" s="2" t="s">
        <v>60</v>
      </c>
      <c r="K10" s="2" t="s">
        <v>61</v>
      </c>
      <c r="L10" s="2" t="s">
        <v>62</v>
      </c>
      <c r="M10" s="2" t="s">
        <v>63</v>
      </c>
      <c r="O10" s="2" t="b">
        <f t="shared" ref="O10:O28" si="0">A10=AC10</f>
        <v>1</v>
      </c>
      <c r="P10" s="2" t="b">
        <f t="shared" ref="P10:P28" si="1">B10=AD10</f>
        <v>1</v>
      </c>
      <c r="Q10" s="2" t="b">
        <f t="shared" ref="Q10:Q28" si="2">C10=AE10</f>
        <v>1</v>
      </c>
      <c r="R10" s="2" t="b">
        <f t="shared" ref="R10:R28" si="3">D10=AF10</f>
        <v>1</v>
      </c>
      <c r="S10" s="2" t="b">
        <f t="shared" ref="S10:S28" si="4">E10=AG10</f>
        <v>1</v>
      </c>
      <c r="T10" s="2" t="b">
        <f t="shared" ref="T10:T28" si="5">F10=AH10</f>
        <v>1</v>
      </c>
      <c r="U10" s="2" t="b">
        <f t="shared" ref="U10:U28" si="6">G10=AI10</f>
        <v>1</v>
      </c>
      <c r="V10" s="2" t="b">
        <f t="shared" ref="V10:V28" si="7">H10=AJ10</f>
        <v>1</v>
      </c>
      <c r="W10" s="2" t="b">
        <f t="shared" ref="W10:W28" si="8">I10=AK10</f>
        <v>1</v>
      </c>
      <c r="X10" s="2" t="b">
        <f t="shared" ref="X10:X28" si="9">J10=AL10</f>
        <v>1</v>
      </c>
      <c r="Y10" s="2" t="b">
        <f t="shared" ref="Y10:Y28" si="10">IFERROR(INT(VALUE(K10))=INT(VALUE(AM10)),K10=AM10)</f>
        <v>1</v>
      </c>
      <c r="Z10" s="2" t="b">
        <f t="shared" ref="Z10:Z28" si="11">IFERROR(INT(VALUE(L10))=INT(VALUE(AN10)),L10=AN10)</f>
        <v>1</v>
      </c>
      <c r="AA10" s="2" t="b">
        <f t="shared" ref="AA10:AA28" si="12">M10=AO10</f>
        <v>1</v>
      </c>
      <c r="AC10" s="2" t="s">
        <v>52</v>
      </c>
      <c r="AD10" s="2" t="s">
        <v>53</v>
      </c>
      <c r="AE10" s="2" t="s">
        <v>54</v>
      </c>
      <c r="AF10" s="2" t="s">
        <v>55</v>
      </c>
      <c r="AG10" s="2" t="s">
        <v>56</v>
      </c>
      <c r="AH10" s="2" t="s">
        <v>57</v>
      </c>
      <c r="AI10" s="2" t="s">
        <v>58</v>
      </c>
      <c r="AJ10" s="2" t="s">
        <v>58</v>
      </c>
      <c r="AK10" s="2" t="s">
        <v>59</v>
      </c>
      <c r="AL10" s="2" t="s">
        <v>60</v>
      </c>
      <c r="AM10" s="2" t="s">
        <v>64</v>
      </c>
      <c r="AN10" s="2" t="s">
        <v>65</v>
      </c>
      <c r="AO10" s="2" t="s">
        <v>63</v>
      </c>
    </row>
    <row r="11" spans="1:41" x14ac:dyDescent="0.25">
      <c r="A11" s="2" t="s">
        <v>52</v>
      </c>
      <c r="B11" s="2" t="s">
        <v>53</v>
      </c>
      <c r="C11" s="2" t="s">
        <v>66</v>
      </c>
      <c r="D11" s="2" t="s">
        <v>55</v>
      </c>
      <c r="E11" s="2" t="s">
        <v>67</v>
      </c>
      <c r="F11" s="2" t="s">
        <v>68</v>
      </c>
      <c r="G11" s="2" t="s">
        <v>69</v>
      </c>
      <c r="H11" s="2" t="s">
        <v>69</v>
      </c>
      <c r="I11" s="2" t="s">
        <v>70</v>
      </c>
      <c r="J11" s="2" t="s">
        <v>60</v>
      </c>
      <c r="K11" s="2" t="s">
        <v>71</v>
      </c>
      <c r="L11" s="2" t="s">
        <v>62</v>
      </c>
      <c r="M11" s="2" t="s">
        <v>63</v>
      </c>
      <c r="O11" s="2" t="b">
        <f t="shared" si="0"/>
        <v>1</v>
      </c>
      <c r="P11" s="2" t="b">
        <f t="shared" si="1"/>
        <v>1</v>
      </c>
      <c r="Q11" s="2" t="b">
        <f t="shared" si="2"/>
        <v>1</v>
      </c>
      <c r="R11" s="2" t="b">
        <f t="shared" si="3"/>
        <v>1</v>
      </c>
      <c r="S11" s="2" t="b">
        <f t="shared" si="4"/>
        <v>1</v>
      </c>
      <c r="T11" s="2" t="b">
        <f t="shared" si="5"/>
        <v>1</v>
      </c>
      <c r="U11" s="2" t="b">
        <f t="shared" si="6"/>
        <v>1</v>
      </c>
      <c r="V11" s="2" t="b">
        <f t="shared" si="7"/>
        <v>1</v>
      </c>
      <c r="W11" s="2" t="b">
        <f t="shared" si="8"/>
        <v>1</v>
      </c>
      <c r="X11" s="2" t="b">
        <f t="shared" si="9"/>
        <v>1</v>
      </c>
      <c r="Y11" s="2" t="b">
        <f t="shared" si="10"/>
        <v>1</v>
      </c>
      <c r="Z11" s="2" t="b">
        <f t="shared" si="11"/>
        <v>1</v>
      </c>
      <c r="AA11" s="2" t="b">
        <f t="shared" si="12"/>
        <v>1</v>
      </c>
      <c r="AC11" s="2" t="s">
        <v>52</v>
      </c>
      <c r="AD11" s="2" t="s">
        <v>53</v>
      </c>
      <c r="AE11" s="2" t="s">
        <v>66</v>
      </c>
      <c r="AF11" s="2" t="s">
        <v>55</v>
      </c>
      <c r="AG11" s="2" t="s">
        <v>67</v>
      </c>
      <c r="AH11" s="2" t="s">
        <v>68</v>
      </c>
      <c r="AI11" s="2" t="s">
        <v>69</v>
      </c>
      <c r="AJ11" s="2" t="s">
        <v>69</v>
      </c>
      <c r="AK11" s="2" t="s">
        <v>70</v>
      </c>
      <c r="AL11" s="2" t="s">
        <v>60</v>
      </c>
      <c r="AM11" s="2" t="s">
        <v>72</v>
      </c>
      <c r="AN11" s="2" t="s">
        <v>65</v>
      </c>
      <c r="AO11" s="2" t="s">
        <v>63</v>
      </c>
    </row>
    <row r="12" spans="1:41" x14ac:dyDescent="0.25">
      <c r="A12" s="2" t="s">
        <v>73</v>
      </c>
      <c r="B12" s="2" t="s">
        <v>74</v>
      </c>
      <c r="C12" s="2" t="s">
        <v>75</v>
      </c>
      <c r="D12" s="2" t="s">
        <v>55</v>
      </c>
      <c r="E12" s="2" t="s">
        <v>76</v>
      </c>
      <c r="F12" s="2" t="s">
        <v>77</v>
      </c>
      <c r="G12" s="2" t="s">
        <v>78</v>
      </c>
      <c r="H12" s="2" t="s">
        <v>78</v>
      </c>
      <c r="I12" s="2" t="s">
        <v>79</v>
      </c>
      <c r="J12" s="2" t="s">
        <v>60</v>
      </c>
      <c r="K12" s="2" t="s">
        <v>80</v>
      </c>
      <c r="L12" s="2" t="s">
        <v>81</v>
      </c>
      <c r="M12" s="2" t="s">
        <v>82</v>
      </c>
      <c r="O12" s="2" t="b">
        <f t="shared" si="0"/>
        <v>1</v>
      </c>
      <c r="P12" s="2" t="b">
        <f t="shared" si="1"/>
        <v>1</v>
      </c>
      <c r="Q12" s="2" t="b">
        <f t="shared" si="2"/>
        <v>1</v>
      </c>
      <c r="R12" s="2" t="b">
        <f t="shared" si="3"/>
        <v>1</v>
      </c>
      <c r="S12" s="2" t="b">
        <f t="shared" si="4"/>
        <v>1</v>
      </c>
      <c r="T12" s="2" t="b">
        <f t="shared" si="5"/>
        <v>1</v>
      </c>
      <c r="U12" s="2" t="b">
        <f t="shared" si="6"/>
        <v>1</v>
      </c>
      <c r="V12" s="2" t="b">
        <f t="shared" si="7"/>
        <v>1</v>
      </c>
      <c r="W12" s="2" t="b">
        <f t="shared" si="8"/>
        <v>1</v>
      </c>
      <c r="X12" s="2" t="b">
        <f t="shared" si="9"/>
        <v>1</v>
      </c>
      <c r="Y12" s="2" t="b">
        <f t="shared" si="10"/>
        <v>1</v>
      </c>
      <c r="Z12" s="2" t="b">
        <f t="shared" si="11"/>
        <v>1</v>
      </c>
      <c r="AA12" s="2" t="b">
        <f t="shared" si="12"/>
        <v>1</v>
      </c>
      <c r="AC12" s="2" t="s">
        <v>73</v>
      </c>
      <c r="AD12" s="2" t="s">
        <v>74</v>
      </c>
      <c r="AE12" s="2" t="s">
        <v>75</v>
      </c>
      <c r="AF12" s="2" t="s">
        <v>55</v>
      </c>
      <c r="AG12" s="2" t="s">
        <v>76</v>
      </c>
      <c r="AH12" s="2" t="s">
        <v>77</v>
      </c>
      <c r="AI12" s="2" t="s">
        <v>78</v>
      </c>
      <c r="AJ12" s="2" t="s">
        <v>78</v>
      </c>
      <c r="AK12" s="2" t="s">
        <v>79</v>
      </c>
      <c r="AL12" s="2" t="s">
        <v>60</v>
      </c>
      <c r="AM12" s="2" t="s">
        <v>83</v>
      </c>
      <c r="AN12" s="2" t="s">
        <v>84</v>
      </c>
      <c r="AO12" s="2" t="s">
        <v>82</v>
      </c>
    </row>
    <row r="13" spans="1:41" x14ac:dyDescent="0.25">
      <c r="A13" s="2" t="s">
        <v>73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90</v>
      </c>
      <c r="I13" s="2" t="s">
        <v>91</v>
      </c>
      <c r="J13" s="2" t="s">
        <v>60</v>
      </c>
      <c r="K13" s="2" t="s">
        <v>92</v>
      </c>
      <c r="L13" s="2" t="s">
        <v>93</v>
      </c>
      <c r="M13" s="2" t="s">
        <v>94</v>
      </c>
      <c r="O13" s="2" t="b">
        <f t="shared" si="0"/>
        <v>1</v>
      </c>
      <c r="P13" s="2" t="b">
        <f t="shared" si="1"/>
        <v>1</v>
      </c>
      <c r="Q13" s="2" t="b">
        <f t="shared" si="2"/>
        <v>1</v>
      </c>
      <c r="R13" s="2" t="b">
        <f t="shared" si="3"/>
        <v>1</v>
      </c>
      <c r="S13" s="2" t="b">
        <f t="shared" si="4"/>
        <v>1</v>
      </c>
      <c r="T13" s="2" t="b">
        <f t="shared" si="5"/>
        <v>1</v>
      </c>
      <c r="U13" s="2" t="b">
        <f t="shared" si="6"/>
        <v>1</v>
      </c>
      <c r="V13" s="2" t="b">
        <f t="shared" si="7"/>
        <v>1</v>
      </c>
      <c r="W13" s="2" t="b">
        <f t="shared" si="8"/>
        <v>1</v>
      </c>
      <c r="X13" s="2" t="b">
        <f t="shared" si="9"/>
        <v>1</v>
      </c>
      <c r="Y13" s="2" t="b">
        <f t="shared" si="10"/>
        <v>1</v>
      </c>
      <c r="Z13" s="2" t="b">
        <f t="shared" si="11"/>
        <v>1</v>
      </c>
      <c r="AA13" s="2" t="b">
        <f t="shared" si="12"/>
        <v>1</v>
      </c>
      <c r="AC13" s="2" t="s">
        <v>73</v>
      </c>
      <c r="AD13" s="2" t="s">
        <v>85</v>
      </c>
      <c r="AE13" s="2" t="s">
        <v>86</v>
      </c>
      <c r="AF13" s="2" t="s">
        <v>87</v>
      </c>
      <c r="AG13" s="2" t="s">
        <v>88</v>
      </c>
      <c r="AH13" s="2" t="s">
        <v>89</v>
      </c>
      <c r="AI13" s="2" t="s">
        <v>90</v>
      </c>
      <c r="AJ13" s="2" t="s">
        <v>90</v>
      </c>
      <c r="AK13" s="2" t="s">
        <v>91</v>
      </c>
      <c r="AL13" s="2" t="s">
        <v>60</v>
      </c>
      <c r="AM13" s="2" t="s">
        <v>95</v>
      </c>
      <c r="AN13" s="2" t="s">
        <v>96</v>
      </c>
      <c r="AO13" s="2" t="s">
        <v>94</v>
      </c>
    </row>
    <row r="14" spans="1:41" x14ac:dyDescent="0.25">
      <c r="A14" s="2" t="s">
        <v>73</v>
      </c>
      <c r="B14" s="2" t="s">
        <v>85</v>
      </c>
      <c r="C14" s="2" t="s">
        <v>97</v>
      </c>
      <c r="D14" s="2" t="s">
        <v>55</v>
      </c>
      <c r="E14" s="2" t="s">
        <v>98</v>
      </c>
      <c r="F14" s="2" t="s">
        <v>99</v>
      </c>
      <c r="G14" s="2" t="s">
        <v>100</v>
      </c>
      <c r="H14" s="2" t="s">
        <v>100</v>
      </c>
      <c r="I14" s="2" t="s">
        <v>101</v>
      </c>
      <c r="J14" s="2" t="s">
        <v>60</v>
      </c>
      <c r="K14" s="2" t="s">
        <v>102</v>
      </c>
      <c r="L14" s="2" t="s">
        <v>103</v>
      </c>
      <c r="M14" s="2" t="s">
        <v>82</v>
      </c>
      <c r="O14" s="2" t="b">
        <f t="shared" si="0"/>
        <v>1</v>
      </c>
      <c r="P14" s="2" t="b">
        <f t="shared" si="1"/>
        <v>1</v>
      </c>
      <c r="Q14" s="2" t="b">
        <f t="shared" si="2"/>
        <v>1</v>
      </c>
      <c r="R14" s="2" t="b">
        <f t="shared" si="3"/>
        <v>1</v>
      </c>
      <c r="S14" s="2" t="b">
        <f t="shared" si="4"/>
        <v>1</v>
      </c>
      <c r="T14" s="2" t="b">
        <f t="shared" si="5"/>
        <v>1</v>
      </c>
      <c r="U14" s="2" t="b">
        <f t="shared" si="6"/>
        <v>1</v>
      </c>
      <c r="V14" s="2" t="b">
        <f t="shared" si="7"/>
        <v>1</v>
      </c>
      <c r="W14" s="2" t="b">
        <f t="shared" si="8"/>
        <v>1</v>
      </c>
      <c r="X14" s="2" t="b">
        <f t="shared" si="9"/>
        <v>1</v>
      </c>
      <c r="Y14" s="2" t="b">
        <f t="shared" si="10"/>
        <v>1</v>
      </c>
      <c r="Z14" s="2" t="b">
        <f t="shared" si="11"/>
        <v>1</v>
      </c>
      <c r="AA14" s="2" t="b">
        <f t="shared" si="12"/>
        <v>1</v>
      </c>
      <c r="AC14" s="2" t="s">
        <v>73</v>
      </c>
      <c r="AD14" s="2" t="s">
        <v>85</v>
      </c>
      <c r="AE14" s="2" t="s">
        <v>97</v>
      </c>
      <c r="AF14" s="2" t="s">
        <v>55</v>
      </c>
      <c r="AG14" s="2" t="s">
        <v>98</v>
      </c>
      <c r="AH14" s="2" t="s">
        <v>99</v>
      </c>
      <c r="AI14" s="2" t="s">
        <v>100</v>
      </c>
      <c r="AJ14" s="2" t="s">
        <v>100</v>
      </c>
      <c r="AK14" s="2" t="s">
        <v>101</v>
      </c>
      <c r="AL14" s="2" t="s">
        <v>60</v>
      </c>
      <c r="AM14" s="2" t="s">
        <v>104</v>
      </c>
      <c r="AN14" s="2" t="s">
        <v>105</v>
      </c>
      <c r="AO14" s="2" t="s">
        <v>82</v>
      </c>
    </row>
    <row r="15" spans="1:41" x14ac:dyDescent="0.25">
      <c r="A15" s="2" t="s">
        <v>73</v>
      </c>
      <c r="B15" s="2" t="s">
        <v>85</v>
      </c>
      <c r="C15" s="2" t="s">
        <v>106</v>
      </c>
      <c r="D15" s="2" t="s">
        <v>55</v>
      </c>
      <c r="E15" s="2" t="s">
        <v>107</v>
      </c>
      <c r="F15" s="2" t="s">
        <v>108</v>
      </c>
      <c r="G15" s="2" t="s">
        <v>109</v>
      </c>
      <c r="H15" s="2" t="s">
        <v>109</v>
      </c>
      <c r="I15" s="2" t="s">
        <v>110</v>
      </c>
      <c r="J15" s="2" t="s">
        <v>60</v>
      </c>
      <c r="K15" s="2" t="s">
        <v>103</v>
      </c>
      <c r="L15" s="2" t="s">
        <v>111</v>
      </c>
      <c r="M15" s="2" t="s">
        <v>112</v>
      </c>
      <c r="O15" s="2" t="b">
        <f t="shared" si="0"/>
        <v>1</v>
      </c>
      <c r="P15" s="2" t="b">
        <f t="shared" si="1"/>
        <v>1</v>
      </c>
      <c r="Q15" s="2" t="b">
        <f t="shared" si="2"/>
        <v>1</v>
      </c>
      <c r="R15" s="2" t="b">
        <f t="shared" si="3"/>
        <v>1</v>
      </c>
      <c r="S15" s="2" t="b">
        <f t="shared" si="4"/>
        <v>1</v>
      </c>
      <c r="T15" s="2" t="b">
        <f t="shared" si="5"/>
        <v>1</v>
      </c>
      <c r="U15" s="2" t="b">
        <f t="shared" si="6"/>
        <v>1</v>
      </c>
      <c r="V15" s="2" t="b">
        <f t="shared" si="7"/>
        <v>1</v>
      </c>
      <c r="W15" s="2" t="b">
        <f t="shared" si="8"/>
        <v>1</v>
      </c>
      <c r="X15" s="2" t="b">
        <f t="shared" si="9"/>
        <v>1</v>
      </c>
      <c r="Y15" s="2" t="b">
        <f t="shared" si="10"/>
        <v>1</v>
      </c>
      <c r="Z15" s="2" t="b">
        <f t="shared" si="11"/>
        <v>1</v>
      </c>
      <c r="AA15" s="2" t="b">
        <f t="shared" si="12"/>
        <v>1</v>
      </c>
      <c r="AC15" s="2" t="s">
        <v>73</v>
      </c>
      <c r="AD15" s="2" t="s">
        <v>85</v>
      </c>
      <c r="AE15" s="2" t="s">
        <v>106</v>
      </c>
      <c r="AF15" s="2" t="s">
        <v>55</v>
      </c>
      <c r="AG15" s="2" t="s">
        <v>107</v>
      </c>
      <c r="AH15" s="2" t="s">
        <v>108</v>
      </c>
      <c r="AI15" s="2" t="s">
        <v>109</v>
      </c>
      <c r="AJ15" s="2" t="s">
        <v>109</v>
      </c>
      <c r="AK15" s="2" t="s">
        <v>110</v>
      </c>
      <c r="AL15" s="2" t="s">
        <v>60</v>
      </c>
      <c r="AM15" s="2" t="s">
        <v>105</v>
      </c>
      <c r="AN15" s="2" t="s">
        <v>113</v>
      </c>
      <c r="AO15" s="2" t="s">
        <v>112</v>
      </c>
    </row>
    <row r="16" spans="1:41" x14ac:dyDescent="0.25">
      <c r="A16" s="2" t="s">
        <v>73</v>
      </c>
      <c r="B16" s="2" t="s">
        <v>85</v>
      </c>
      <c r="C16" s="2" t="s">
        <v>114</v>
      </c>
      <c r="D16" s="2" t="s">
        <v>55</v>
      </c>
      <c r="E16" s="2" t="s">
        <v>107</v>
      </c>
      <c r="F16" s="2" t="s">
        <v>108</v>
      </c>
      <c r="G16" s="2" t="s">
        <v>109</v>
      </c>
      <c r="H16" s="2" t="s">
        <v>109</v>
      </c>
      <c r="I16" s="2" t="s">
        <v>110</v>
      </c>
      <c r="J16" s="2" t="s">
        <v>60</v>
      </c>
      <c r="K16" s="2" t="s">
        <v>103</v>
      </c>
      <c r="L16" s="2" t="s">
        <v>111</v>
      </c>
      <c r="M16" s="2" t="s">
        <v>112</v>
      </c>
      <c r="O16" s="2" t="b">
        <f t="shared" si="0"/>
        <v>1</v>
      </c>
      <c r="P16" s="2" t="b">
        <f t="shared" si="1"/>
        <v>1</v>
      </c>
      <c r="Q16" s="2" t="b">
        <f t="shared" si="2"/>
        <v>1</v>
      </c>
      <c r="R16" s="2" t="b">
        <f t="shared" si="3"/>
        <v>1</v>
      </c>
      <c r="S16" s="2" t="b">
        <f t="shared" si="4"/>
        <v>1</v>
      </c>
      <c r="T16" s="2" t="b">
        <f t="shared" si="5"/>
        <v>1</v>
      </c>
      <c r="U16" s="2" t="b">
        <f t="shared" si="6"/>
        <v>1</v>
      </c>
      <c r="V16" s="2" t="b">
        <f t="shared" si="7"/>
        <v>1</v>
      </c>
      <c r="W16" s="2" t="b">
        <f t="shared" si="8"/>
        <v>1</v>
      </c>
      <c r="X16" s="2" t="b">
        <f t="shared" si="9"/>
        <v>1</v>
      </c>
      <c r="Y16" s="2" t="b">
        <f t="shared" si="10"/>
        <v>1</v>
      </c>
      <c r="Z16" s="2" t="b">
        <f t="shared" si="11"/>
        <v>1</v>
      </c>
      <c r="AA16" s="2" t="b">
        <f t="shared" si="12"/>
        <v>1</v>
      </c>
      <c r="AC16" s="2" t="s">
        <v>73</v>
      </c>
      <c r="AD16" s="2" t="s">
        <v>85</v>
      </c>
      <c r="AE16" s="2" t="s">
        <v>114</v>
      </c>
      <c r="AF16" s="2" t="s">
        <v>55</v>
      </c>
      <c r="AG16" s="2" t="s">
        <v>107</v>
      </c>
      <c r="AH16" s="2" t="s">
        <v>108</v>
      </c>
      <c r="AI16" s="2" t="s">
        <v>109</v>
      </c>
      <c r="AJ16" s="2" t="s">
        <v>109</v>
      </c>
      <c r="AK16" s="2" t="s">
        <v>110</v>
      </c>
      <c r="AL16" s="2" t="s">
        <v>60</v>
      </c>
      <c r="AM16" s="2" t="s">
        <v>105</v>
      </c>
      <c r="AN16" s="2" t="s">
        <v>113</v>
      </c>
      <c r="AO16" s="2" t="s">
        <v>112</v>
      </c>
    </row>
    <row r="17" spans="1:41" x14ac:dyDescent="0.25">
      <c r="A17" s="2" t="s">
        <v>73</v>
      </c>
      <c r="B17" s="2" t="s">
        <v>85</v>
      </c>
      <c r="C17" s="2" t="s">
        <v>115</v>
      </c>
      <c r="D17" s="2" t="s">
        <v>55</v>
      </c>
      <c r="E17" s="2" t="s">
        <v>88</v>
      </c>
      <c r="F17" s="2" t="s">
        <v>89</v>
      </c>
      <c r="G17" s="2" t="s">
        <v>116</v>
      </c>
      <c r="H17" s="2" t="s">
        <v>116</v>
      </c>
      <c r="I17" s="2" t="s">
        <v>117</v>
      </c>
      <c r="J17" s="2" t="s">
        <v>60</v>
      </c>
      <c r="K17" s="2" t="s">
        <v>118</v>
      </c>
      <c r="L17" s="2" t="s">
        <v>119</v>
      </c>
      <c r="M17" s="2" t="s">
        <v>94</v>
      </c>
      <c r="O17" s="2" t="b">
        <f t="shared" si="0"/>
        <v>1</v>
      </c>
      <c r="P17" s="2" t="b">
        <f t="shared" si="1"/>
        <v>1</v>
      </c>
      <c r="Q17" s="2" t="b">
        <f t="shared" si="2"/>
        <v>1</v>
      </c>
      <c r="R17" s="2" t="b">
        <f t="shared" si="3"/>
        <v>1</v>
      </c>
      <c r="S17" s="2" t="b">
        <f t="shared" si="4"/>
        <v>1</v>
      </c>
      <c r="T17" s="2" t="b">
        <f t="shared" si="5"/>
        <v>1</v>
      </c>
      <c r="U17" s="2" t="b">
        <f t="shared" si="6"/>
        <v>1</v>
      </c>
      <c r="V17" s="2" t="b">
        <f t="shared" si="7"/>
        <v>1</v>
      </c>
      <c r="W17" s="2" t="b">
        <f t="shared" si="8"/>
        <v>1</v>
      </c>
      <c r="X17" s="2" t="b">
        <f t="shared" si="9"/>
        <v>1</v>
      </c>
      <c r="Y17" s="2" t="b">
        <f t="shared" si="10"/>
        <v>1</v>
      </c>
      <c r="Z17" s="2" t="b">
        <f t="shared" si="11"/>
        <v>1</v>
      </c>
      <c r="AA17" s="2" t="b">
        <f t="shared" si="12"/>
        <v>1</v>
      </c>
      <c r="AC17" s="2" t="s">
        <v>73</v>
      </c>
      <c r="AD17" s="2" t="s">
        <v>85</v>
      </c>
      <c r="AE17" s="2" t="s">
        <v>115</v>
      </c>
      <c r="AF17" s="2" t="s">
        <v>55</v>
      </c>
      <c r="AG17" s="2" t="s">
        <v>88</v>
      </c>
      <c r="AH17" s="2" t="s">
        <v>89</v>
      </c>
      <c r="AI17" s="2" t="s">
        <v>116</v>
      </c>
      <c r="AJ17" s="2" t="s">
        <v>116</v>
      </c>
      <c r="AK17" s="2" t="s">
        <v>117</v>
      </c>
      <c r="AL17" s="2" t="s">
        <v>60</v>
      </c>
      <c r="AM17" s="2" t="s">
        <v>120</v>
      </c>
      <c r="AN17" s="2" t="s">
        <v>121</v>
      </c>
      <c r="AO17" s="2" t="s">
        <v>94</v>
      </c>
    </row>
    <row r="18" spans="1:41" x14ac:dyDescent="0.25">
      <c r="A18" s="2" t="s">
        <v>73</v>
      </c>
      <c r="B18" s="2" t="s">
        <v>85</v>
      </c>
      <c r="C18" s="2" t="s">
        <v>122</v>
      </c>
      <c r="D18" s="2" t="s">
        <v>55</v>
      </c>
      <c r="E18" s="2" t="s">
        <v>88</v>
      </c>
      <c r="F18" s="2" t="s">
        <v>89</v>
      </c>
      <c r="G18" s="2" t="s">
        <v>116</v>
      </c>
      <c r="H18" s="2" t="s">
        <v>116</v>
      </c>
      <c r="I18" s="2" t="s">
        <v>117</v>
      </c>
      <c r="J18" s="2" t="s">
        <v>60</v>
      </c>
      <c r="K18" s="2" t="s">
        <v>118</v>
      </c>
      <c r="L18" s="2" t="s">
        <v>123</v>
      </c>
      <c r="M18" s="2" t="s">
        <v>94</v>
      </c>
      <c r="O18" s="2" t="b">
        <f t="shared" si="0"/>
        <v>1</v>
      </c>
      <c r="P18" s="2" t="b">
        <f t="shared" si="1"/>
        <v>1</v>
      </c>
      <c r="Q18" s="2" t="b">
        <f t="shared" si="2"/>
        <v>1</v>
      </c>
      <c r="R18" s="2" t="b">
        <f t="shared" si="3"/>
        <v>1</v>
      </c>
      <c r="S18" s="2" t="b">
        <f t="shared" si="4"/>
        <v>1</v>
      </c>
      <c r="T18" s="2" t="b">
        <f t="shared" si="5"/>
        <v>1</v>
      </c>
      <c r="U18" s="2" t="b">
        <f t="shared" si="6"/>
        <v>1</v>
      </c>
      <c r="V18" s="2" t="b">
        <f t="shared" si="7"/>
        <v>1</v>
      </c>
      <c r="W18" s="2" t="b">
        <f t="shared" si="8"/>
        <v>1</v>
      </c>
      <c r="X18" s="2" t="b">
        <f t="shared" si="9"/>
        <v>1</v>
      </c>
      <c r="Y18" s="2" t="b">
        <f t="shared" si="10"/>
        <v>1</v>
      </c>
      <c r="Z18" s="2" t="b">
        <f t="shared" si="11"/>
        <v>1</v>
      </c>
      <c r="AA18" s="2" t="b">
        <f t="shared" si="12"/>
        <v>1</v>
      </c>
      <c r="AC18" s="2" t="s">
        <v>73</v>
      </c>
      <c r="AD18" s="2" t="s">
        <v>85</v>
      </c>
      <c r="AE18" s="2" t="s">
        <v>122</v>
      </c>
      <c r="AF18" s="2" t="s">
        <v>55</v>
      </c>
      <c r="AG18" s="2" t="s">
        <v>88</v>
      </c>
      <c r="AH18" s="2" t="s">
        <v>89</v>
      </c>
      <c r="AI18" s="2" t="s">
        <v>116</v>
      </c>
      <c r="AJ18" s="2" t="s">
        <v>116</v>
      </c>
      <c r="AK18" s="2" t="s">
        <v>117</v>
      </c>
      <c r="AL18" s="2" t="s">
        <v>60</v>
      </c>
      <c r="AM18" s="2" t="s">
        <v>120</v>
      </c>
      <c r="AN18" s="2" t="s">
        <v>124</v>
      </c>
      <c r="AO18" s="2" t="s">
        <v>94</v>
      </c>
    </row>
    <row r="19" spans="1:41" x14ac:dyDescent="0.25">
      <c r="A19" s="2" t="s">
        <v>52</v>
      </c>
      <c r="B19" s="2" t="s">
        <v>53</v>
      </c>
      <c r="C19" s="2" t="s">
        <v>125</v>
      </c>
      <c r="D19" s="2" t="s">
        <v>55</v>
      </c>
      <c r="E19" s="2" t="s">
        <v>76</v>
      </c>
      <c r="F19" s="2" t="s">
        <v>126</v>
      </c>
      <c r="G19" s="2" t="s">
        <v>127</v>
      </c>
      <c r="H19" s="2" t="s">
        <v>127</v>
      </c>
      <c r="I19" s="2" t="s">
        <v>128</v>
      </c>
      <c r="J19" s="2" t="s">
        <v>60</v>
      </c>
      <c r="K19" s="2" t="s">
        <v>129</v>
      </c>
      <c r="L19" s="2" t="s">
        <v>130</v>
      </c>
      <c r="M19" s="2" t="s">
        <v>131</v>
      </c>
      <c r="O19" s="2" t="b">
        <f t="shared" si="0"/>
        <v>1</v>
      </c>
      <c r="P19" s="2" t="b">
        <f t="shared" si="1"/>
        <v>1</v>
      </c>
      <c r="Q19" s="2" t="b">
        <f t="shared" si="2"/>
        <v>1</v>
      </c>
      <c r="R19" s="2" t="b">
        <f t="shared" si="3"/>
        <v>1</v>
      </c>
      <c r="S19" s="2" t="b">
        <f t="shared" si="4"/>
        <v>1</v>
      </c>
      <c r="T19" s="2" t="b">
        <f t="shared" si="5"/>
        <v>1</v>
      </c>
      <c r="U19" s="2" t="b">
        <f t="shared" si="6"/>
        <v>1</v>
      </c>
      <c r="V19" s="2" t="b">
        <f t="shared" si="7"/>
        <v>1</v>
      </c>
      <c r="W19" s="2" t="b">
        <f t="shared" si="8"/>
        <v>1</v>
      </c>
      <c r="X19" s="2" t="b">
        <f t="shared" si="9"/>
        <v>1</v>
      </c>
      <c r="Y19" s="2" t="b">
        <f t="shared" si="10"/>
        <v>1</v>
      </c>
      <c r="Z19" s="2" t="b">
        <f t="shared" si="11"/>
        <v>1</v>
      </c>
      <c r="AA19" s="2" t="b">
        <f t="shared" si="12"/>
        <v>1</v>
      </c>
      <c r="AC19" s="2" t="s">
        <v>52</v>
      </c>
      <c r="AD19" s="2" t="s">
        <v>53</v>
      </c>
      <c r="AE19" s="2" t="s">
        <v>125</v>
      </c>
      <c r="AF19" s="2" t="s">
        <v>55</v>
      </c>
      <c r="AG19" s="2" t="s">
        <v>76</v>
      </c>
      <c r="AH19" s="2" t="s">
        <v>126</v>
      </c>
      <c r="AI19" s="2" t="s">
        <v>127</v>
      </c>
      <c r="AJ19" s="2" t="s">
        <v>127</v>
      </c>
      <c r="AK19" s="2" t="s">
        <v>128</v>
      </c>
      <c r="AL19" s="2" t="s">
        <v>60</v>
      </c>
      <c r="AM19" s="2" t="s">
        <v>132</v>
      </c>
      <c r="AN19" s="2" t="s">
        <v>133</v>
      </c>
      <c r="AO19" s="2" t="s">
        <v>131</v>
      </c>
    </row>
    <row r="20" spans="1:41" x14ac:dyDescent="0.25">
      <c r="A20" s="2" t="s">
        <v>52</v>
      </c>
      <c r="B20" s="2" t="s">
        <v>53</v>
      </c>
      <c r="C20" s="2" t="s">
        <v>134</v>
      </c>
      <c r="D20" s="2" t="s">
        <v>55</v>
      </c>
      <c r="E20" s="2" t="s">
        <v>76</v>
      </c>
      <c r="F20" s="2" t="s">
        <v>126</v>
      </c>
      <c r="G20" s="2" t="s">
        <v>135</v>
      </c>
      <c r="H20" s="2" t="s">
        <v>135</v>
      </c>
      <c r="I20" s="2" t="s">
        <v>136</v>
      </c>
      <c r="J20" s="2" t="s">
        <v>60</v>
      </c>
      <c r="K20" s="2" t="s">
        <v>137</v>
      </c>
      <c r="L20" s="2" t="s">
        <v>138</v>
      </c>
      <c r="M20" s="2" t="s">
        <v>131</v>
      </c>
      <c r="O20" s="2" t="b">
        <f t="shared" si="0"/>
        <v>1</v>
      </c>
      <c r="P20" s="2" t="b">
        <f t="shared" si="1"/>
        <v>1</v>
      </c>
      <c r="Q20" s="2" t="b">
        <f t="shared" si="2"/>
        <v>1</v>
      </c>
      <c r="R20" s="2" t="b">
        <f t="shared" si="3"/>
        <v>1</v>
      </c>
      <c r="S20" s="2" t="b">
        <f t="shared" si="4"/>
        <v>1</v>
      </c>
      <c r="T20" s="2" t="b">
        <f t="shared" si="5"/>
        <v>1</v>
      </c>
      <c r="U20" s="2" t="b">
        <f t="shared" si="6"/>
        <v>1</v>
      </c>
      <c r="V20" s="2" t="b">
        <f t="shared" si="7"/>
        <v>1</v>
      </c>
      <c r="W20" s="2" t="b">
        <f t="shared" si="8"/>
        <v>1</v>
      </c>
      <c r="X20" s="2" t="b">
        <f t="shared" si="9"/>
        <v>1</v>
      </c>
      <c r="Y20" s="2" t="b">
        <f t="shared" si="10"/>
        <v>1</v>
      </c>
      <c r="Z20" s="2" t="b">
        <f t="shared" si="11"/>
        <v>1</v>
      </c>
      <c r="AA20" s="2" t="b">
        <f t="shared" si="12"/>
        <v>1</v>
      </c>
      <c r="AC20" s="2" t="s">
        <v>52</v>
      </c>
      <c r="AD20" s="2" t="s">
        <v>53</v>
      </c>
      <c r="AE20" s="2" t="s">
        <v>134</v>
      </c>
      <c r="AF20" s="2" t="s">
        <v>55</v>
      </c>
      <c r="AG20" s="2" t="s">
        <v>76</v>
      </c>
      <c r="AH20" s="2" t="s">
        <v>126</v>
      </c>
      <c r="AI20" s="2" t="s">
        <v>135</v>
      </c>
      <c r="AJ20" s="2" t="s">
        <v>135</v>
      </c>
      <c r="AK20" s="2" t="s">
        <v>136</v>
      </c>
      <c r="AL20" s="2" t="s">
        <v>60</v>
      </c>
      <c r="AM20" s="2" t="s">
        <v>139</v>
      </c>
      <c r="AN20" s="2" t="s">
        <v>140</v>
      </c>
      <c r="AO20" s="2" t="s">
        <v>131</v>
      </c>
    </row>
    <row r="21" spans="1:41" x14ac:dyDescent="0.25">
      <c r="A21" s="2" t="s">
        <v>73</v>
      </c>
      <c r="B21" s="2" t="s">
        <v>85</v>
      </c>
      <c r="C21" s="2" t="s">
        <v>141</v>
      </c>
      <c r="D21" s="2" t="s">
        <v>55</v>
      </c>
      <c r="E21" s="2" t="s">
        <v>142</v>
      </c>
      <c r="F21" s="2" t="s">
        <v>143</v>
      </c>
      <c r="G21" s="2" t="s">
        <v>144</v>
      </c>
      <c r="H21" s="2" t="s">
        <v>144</v>
      </c>
      <c r="I21" s="2" t="s">
        <v>145</v>
      </c>
      <c r="J21" s="2" t="s">
        <v>60</v>
      </c>
      <c r="K21" s="2" t="s">
        <v>146</v>
      </c>
      <c r="L21" s="2" t="s">
        <v>147</v>
      </c>
      <c r="M21" s="2" t="s">
        <v>112</v>
      </c>
      <c r="O21" s="2" t="b">
        <f t="shared" si="0"/>
        <v>1</v>
      </c>
      <c r="P21" s="2" t="b">
        <f t="shared" si="1"/>
        <v>1</v>
      </c>
      <c r="Q21" s="2" t="b">
        <f t="shared" si="2"/>
        <v>1</v>
      </c>
      <c r="R21" s="2" t="b">
        <f t="shared" si="3"/>
        <v>1</v>
      </c>
      <c r="S21" s="2" t="b">
        <f t="shared" si="4"/>
        <v>1</v>
      </c>
      <c r="T21" s="2" t="b">
        <f t="shared" si="5"/>
        <v>1</v>
      </c>
      <c r="U21" s="2" t="b">
        <f t="shared" si="6"/>
        <v>1</v>
      </c>
      <c r="V21" s="2" t="b">
        <f t="shared" si="7"/>
        <v>1</v>
      </c>
      <c r="W21" s="2" t="b">
        <f t="shared" si="8"/>
        <v>1</v>
      </c>
      <c r="X21" s="2" t="b">
        <f t="shared" si="9"/>
        <v>1</v>
      </c>
      <c r="Y21" s="2" t="b">
        <f t="shared" si="10"/>
        <v>1</v>
      </c>
      <c r="Z21" s="2" t="b">
        <f t="shared" si="11"/>
        <v>1</v>
      </c>
      <c r="AA21" s="2" t="b">
        <f t="shared" si="12"/>
        <v>1</v>
      </c>
      <c r="AC21" s="2" t="s">
        <v>73</v>
      </c>
      <c r="AD21" s="2" t="s">
        <v>85</v>
      </c>
      <c r="AE21" s="2" t="s">
        <v>141</v>
      </c>
      <c r="AF21" s="2" t="s">
        <v>55</v>
      </c>
      <c r="AG21" s="2" t="s">
        <v>142</v>
      </c>
      <c r="AH21" s="2" t="s">
        <v>143</v>
      </c>
      <c r="AI21" s="2" t="s">
        <v>144</v>
      </c>
      <c r="AJ21" s="2" t="s">
        <v>144</v>
      </c>
      <c r="AK21" s="2" t="s">
        <v>145</v>
      </c>
      <c r="AL21" s="2" t="s">
        <v>60</v>
      </c>
      <c r="AM21" s="2" t="s">
        <v>148</v>
      </c>
      <c r="AN21" s="2" t="s">
        <v>149</v>
      </c>
      <c r="AO21" s="2" t="s">
        <v>112</v>
      </c>
    </row>
    <row r="22" spans="1:41" x14ac:dyDescent="0.25">
      <c r="A22" s="2" t="s">
        <v>52</v>
      </c>
      <c r="B22" s="2" t="s">
        <v>53</v>
      </c>
      <c r="C22" s="2" t="s">
        <v>150</v>
      </c>
      <c r="D22" s="2" t="s">
        <v>55</v>
      </c>
      <c r="E22" s="2" t="s">
        <v>76</v>
      </c>
      <c r="F22" s="2" t="s">
        <v>126</v>
      </c>
      <c r="G22" s="2" t="s">
        <v>135</v>
      </c>
      <c r="H22" s="2" t="s">
        <v>135</v>
      </c>
      <c r="I22" s="2" t="s">
        <v>136</v>
      </c>
      <c r="J22" s="2" t="s">
        <v>60</v>
      </c>
      <c r="K22" s="2" t="s">
        <v>151</v>
      </c>
      <c r="L22" s="2" t="s">
        <v>151</v>
      </c>
      <c r="M22" s="2" t="s">
        <v>131</v>
      </c>
      <c r="O22" s="2" t="b">
        <f t="shared" si="0"/>
        <v>1</v>
      </c>
      <c r="P22" s="2" t="b">
        <f t="shared" si="1"/>
        <v>1</v>
      </c>
      <c r="Q22" s="2" t="b">
        <f t="shared" si="2"/>
        <v>1</v>
      </c>
      <c r="R22" s="2" t="b">
        <f t="shared" si="3"/>
        <v>1</v>
      </c>
      <c r="S22" s="2" t="b">
        <f t="shared" si="4"/>
        <v>1</v>
      </c>
      <c r="T22" s="2" t="b">
        <f t="shared" si="5"/>
        <v>1</v>
      </c>
      <c r="U22" s="2" t="b">
        <f t="shared" si="6"/>
        <v>1</v>
      </c>
      <c r="V22" s="2" t="b">
        <f t="shared" si="7"/>
        <v>1</v>
      </c>
      <c r="W22" s="2" t="b">
        <f t="shared" si="8"/>
        <v>1</v>
      </c>
      <c r="X22" s="2" t="b">
        <f t="shared" si="9"/>
        <v>1</v>
      </c>
      <c r="Y22" s="2" t="b">
        <f t="shared" si="10"/>
        <v>1</v>
      </c>
      <c r="Z22" s="2" t="b">
        <f t="shared" si="11"/>
        <v>1</v>
      </c>
      <c r="AA22" s="2" t="b">
        <f t="shared" si="12"/>
        <v>1</v>
      </c>
      <c r="AC22" s="2" t="s">
        <v>52</v>
      </c>
      <c r="AD22" s="2" t="s">
        <v>53</v>
      </c>
      <c r="AE22" s="2" t="s">
        <v>150</v>
      </c>
      <c r="AF22" s="2" t="s">
        <v>55</v>
      </c>
      <c r="AG22" s="2" t="s">
        <v>76</v>
      </c>
      <c r="AH22" s="2" t="s">
        <v>126</v>
      </c>
      <c r="AI22" s="2" t="s">
        <v>135</v>
      </c>
      <c r="AJ22" s="2" t="s">
        <v>135</v>
      </c>
      <c r="AK22" s="2" t="s">
        <v>136</v>
      </c>
      <c r="AL22" s="2" t="s">
        <v>60</v>
      </c>
      <c r="AM22" s="2" t="s">
        <v>152</v>
      </c>
      <c r="AN22" s="2" t="s">
        <v>152</v>
      </c>
      <c r="AO22" s="2" t="s">
        <v>131</v>
      </c>
    </row>
    <row r="23" spans="1:41" x14ac:dyDescent="0.25">
      <c r="A23" s="2" t="s">
        <v>52</v>
      </c>
      <c r="B23" s="2" t="s">
        <v>53</v>
      </c>
      <c r="C23" s="2" t="s">
        <v>153</v>
      </c>
      <c r="D23" s="2" t="s">
        <v>55</v>
      </c>
      <c r="E23" s="2" t="s">
        <v>154</v>
      </c>
      <c r="F23" s="2" t="s">
        <v>155</v>
      </c>
      <c r="G23" s="2" t="s">
        <v>69</v>
      </c>
      <c r="H23" s="2" t="s">
        <v>69</v>
      </c>
      <c r="I23" s="2" t="s">
        <v>70</v>
      </c>
      <c r="J23" s="2" t="s">
        <v>60</v>
      </c>
      <c r="K23" s="2" t="s">
        <v>156</v>
      </c>
      <c r="L23" s="2" t="s">
        <v>156</v>
      </c>
      <c r="M23" s="2" t="s">
        <v>63</v>
      </c>
      <c r="O23" s="2" t="b">
        <f t="shared" si="0"/>
        <v>1</v>
      </c>
      <c r="P23" s="2" t="b">
        <f t="shared" si="1"/>
        <v>1</v>
      </c>
      <c r="Q23" s="2" t="b">
        <f t="shared" si="2"/>
        <v>1</v>
      </c>
      <c r="R23" s="2" t="b">
        <f t="shared" si="3"/>
        <v>1</v>
      </c>
      <c r="S23" s="2" t="b">
        <f t="shared" si="4"/>
        <v>1</v>
      </c>
      <c r="T23" s="2" t="b">
        <f t="shared" si="5"/>
        <v>1</v>
      </c>
      <c r="U23" s="2" t="b">
        <f t="shared" si="6"/>
        <v>1</v>
      </c>
      <c r="V23" s="2" t="b">
        <f t="shared" si="7"/>
        <v>1</v>
      </c>
      <c r="W23" s="2" t="b">
        <f t="shared" si="8"/>
        <v>1</v>
      </c>
      <c r="X23" s="2" t="b">
        <f t="shared" si="9"/>
        <v>1</v>
      </c>
      <c r="Y23" s="2" t="b">
        <f t="shared" si="10"/>
        <v>1</v>
      </c>
      <c r="Z23" s="2" t="b">
        <f t="shared" si="11"/>
        <v>1</v>
      </c>
      <c r="AA23" s="2" t="b">
        <f t="shared" si="12"/>
        <v>1</v>
      </c>
      <c r="AC23" s="2" t="s">
        <v>52</v>
      </c>
      <c r="AD23" s="2" t="s">
        <v>53</v>
      </c>
      <c r="AE23" s="2" t="s">
        <v>153</v>
      </c>
      <c r="AF23" s="2" t="s">
        <v>55</v>
      </c>
      <c r="AG23" s="2" t="s">
        <v>154</v>
      </c>
      <c r="AH23" s="2" t="s">
        <v>155</v>
      </c>
      <c r="AI23" s="2" t="s">
        <v>69</v>
      </c>
      <c r="AJ23" s="2" t="s">
        <v>69</v>
      </c>
      <c r="AK23" s="2" t="s">
        <v>70</v>
      </c>
      <c r="AL23" s="2" t="s">
        <v>60</v>
      </c>
      <c r="AM23" s="2" t="s">
        <v>157</v>
      </c>
      <c r="AN23" s="2" t="s">
        <v>157</v>
      </c>
      <c r="AO23" s="2" t="s">
        <v>63</v>
      </c>
    </row>
    <row r="24" spans="1:41" x14ac:dyDescent="0.25">
      <c r="A24" s="2" t="s">
        <v>73</v>
      </c>
      <c r="B24" s="2" t="s">
        <v>85</v>
      </c>
      <c r="C24" s="2" t="s">
        <v>158</v>
      </c>
      <c r="D24" s="2" t="s">
        <v>55</v>
      </c>
      <c r="E24" s="2" t="s">
        <v>76</v>
      </c>
      <c r="F24" s="2" t="s">
        <v>126</v>
      </c>
      <c r="G24" s="2" t="s">
        <v>159</v>
      </c>
      <c r="H24" s="2" t="s">
        <v>159</v>
      </c>
      <c r="I24" s="2" t="s">
        <v>160</v>
      </c>
      <c r="J24" s="2" t="s">
        <v>60</v>
      </c>
      <c r="K24" s="2" t="s">
        <v>161</v>
      </c>
      <c r="L24" s="2" t="s">
        <v>162</v>
      </c>
      <c r="M24" s="2" t="s">
        <v>82</v>
      </c>
      <c r="O24" s="2" t="b">
        <f t="shared" si="0"/>
        <v>1</v>
      </c>
      <c r="P24" s="2" t="b">
        <f t="shared" si="1"/>
        <v>1</v>
      </c>
      <c r="Q24" s="2" t="b">
        <f t="shared" si="2"/>
        <v>1</v>
      </c>
      <c r="R24" s="2" t="b">
        <f t="shared" si="3"/>
        <v>1</v>
      </c>
      <c r="S24" s="2" t="b">
        <f t="shared" si="4"/>
        <v>1</v>
      </c>
      <c r="T24" s="2" t="b">
        <f t="shared" si="5"/>
        <v>1</v>
      </c>
      <c r="U24" s="2" t="b">
        <f t="shared" si="6"/>
        <v>1</v>
      </c>
      <c r="V24" s="2" t="b">
        <f t="shared" si="7"/>
        <v>1</v>
      </c>
      <c r="W24" s="2" t="b">
        <f t="shared" si="8"/>
        <v>1</v>
      </c>
      <c r="X24" s="2" t="b">
        <f t="shared" si="9"/>
        <v>1</v>
      </c>
      <c r="Y24" s="2" t="b">
        <f t="shared" si="10"/>
        <v>1</v>
      </c>
      <c r="Z24" s="2" t="b">
        <f t="shared" si="11"/>
        <v>1</v>
      </c>
      <c r="AA24" s="2" t="b">
        <f t="shared" si="12"/>
        <v>1</v>
      </c>
      <c r="AC24" s="2" t="s">
        <v>73</v>
      </c>
      <c r="AD24" s="2" t="s">
        <v>85</v>
      </c>
      <c r="AE24" s="2" t="s">
        <v>158</v>
      </c>
      <c r="AF24" s="2" t="s">
        <v>55</v>
      </c>
      <c r="AG24" s="2" t="s">
        <v>76</v>
      </c>
      <c r="AH24" s="2" t="s">
        <v>126</v>
      </c>
      <c r="AI24" s="2" t="s">
        <v>159</v>
      </c>
      <c r="AJ24" s="2" t="s">
        <v>159</v>
      </c>
      <c r="AK24" s="2" t="s">
        <v>160</v>
      </c>
      <c r="AL24" s="2" t="s">
        <v>60</v>
      </c>
      <c r="AM24" s="2" t="s">
        <v>163</v>
      </c>
      <c r="AN24" s="2" t="s">
        <v>164</v>
      </c>
      <c r="AO24" s="2" t="s">
        <v>82</v>
      </c>
    </row>
    <row r="25" spans="1:41" x14ac:dyDescent="0.25">
      <c r="A25" s="2" t="s">
        <v>165</v>
      </c>
      <c r="B25" s="2" t="s">
        <v>166</v>
      </c>
      <c r="C25" s="2" t="s">
        <v>167</v>
      </c>
      <c r="D25" s="2" t="s">
        <v>55</v>
      </c>
      <c r="E25" s="2" t="s">
        <v>168</v>
      </c>
      <c r="F25" s="2" t="s">
        <v>168</v>
      </c>
      <c r="G25" s="2" t="s">
        <v>169</v>
      </c>
      <c r="H25" s="2" t="s">
        <v>169</v>
      </c>
      <c r="I25" s="2" t="s">
        <v>169</v>
      </c>
      <c r="J25" s="2" t="s">
        <v>60</v>
      </c>
      <c r="K25" s="2" t="s">
        <v>170</v>
      </c>
      <c r="L25" s="2" t="s">
        <v>170</v>
      </c>
      <c r="M25" s="2" t="s">
        <v>171</v>
      </c>
      <c r="O25" s="2" t="b">
        <f t="shared" si="0"/>
        <v>1</v>
      </c>
      <c r="P25" s="2" t="b">
        <f t="shared" si="1"/>
        <v>1</v>
      </c>
      <c r="Q25" s="2" t="b">
        <f t="shared" si="2"/>
        <v>1</v>
      </c>
      <c r="R25" s="2" t="b">
        <f t="shared" si="3"/>
        <v>1</v>
      </c>
      <c r="S25" s="2" t="b">
        <f t="shared" si="4"/>
        <v>1</v>
      </c>
      <c r="T25" s="2" t="b">
        <f t="shared" si="5"/>
        <v>1</v>
      </c>
      <c r="U25" s="2" t="b">
        <f t="shared" si="6"/>
        <v>1</v>
      </c>
      <c r="V25" s="2" t="b">
        <f t="shared" si="7"/>
        <v>1</v>
      </c>
      <c r="W25" s="2" t="b">
        <f t="shared" si="8"/>
        <v>1</v>
      </c>
      <c r="X25" s="2" t="b">
        <f t="shared" si="9"/>
        <v>1</v>
      </c>
      <c r="Y25" s="2" t="b">
        <f t="shared" si="10"/>
        <v>1</v>
      </c>
      <c r="Z25" s="2" t="b">
        <f t="shared" si="11"/>
        <v>1</v>
      </c>
      <c r="AA25" s="2" t="b">
        <f t="shared" si="12"/>
        <v>1</v>
      </c>
      <c r="AC25" s="2" t="s">
        <v>165</v>
      </c>
      <c r="AD25" s="2" t="s">
        <v>166</v>
      </c>
      <c r="AE25" s="2" t="s">
        <v>167</v>
      </c>
      <c r="AF25" s="2" t="s">
        <v>55</v>
      </c>
      <c r="AG25" s="2" t="s">
        <v>168</v>
      </c>
      <c r="AH25" s="2" t="s">
        <v>168</v>
      </c>
      <c r="AI25" s="2" t="s">
        <v>169</v>
      </c>
      <c r="AJ25" s="2" t="s">
        <v>169</v>
      </c>
      <c r="AK25" s="2" t="s">
        <v>169</v>
      </c>
      <c r="AL25" s="2" t="s">
        <v>60</v>
      </c>
      <c r="AM25" s="2" t="s">
        <v>172</v>
      </c>
      <c r="AN25" s="2" t="s">
        <v>172</v>
      </c>
      <c r="AO25" s="2" t="s">
        <v>171</v>
      </c>
    </row>
    <row r="26" spans="1:41" x14ac:dyDescent="0.25">
      <c r="A26" s="2" t="s">
        <v>73</v>
      </c>
      <c r="B26" s="2" t="s">
        <v>74</v>
      </c>
      <c r="C26" s="2" t="s">
        <v>173</v>
      </c>
      <c r="D26" s="2" t="s">
        <v>55</v>
      </c>
      <c r="E26" s="2" t="s">
        <v>76</v>
      </c>
      <c r="F26" s="2" t="s">
        <v>174</v>
      </c>
      <c r="G26" s="2" t="s">
        <v>175</v>
      </c>
      <c r="H26" s="2" t="s">
        <v>175</v>
      </c>
      <c r="I26" s="2" t="s">
        <v>145</v>
      </c>
      <c r="J26" s="2" t="s">
        <v>60</v>
      </c>
      <c r="K26" s="2" t="s">
        <v>176</v>
      </c>
      <c r="L26" s="2" t="s">
        <v>176</v>
      </c>
      <c r="M26" s="2" t="s">
        <v>82</v>
      </c>
      <c r="O26" s="2" t="b">
        <f t="shared" si="0"/>
        <v>1</v>
      </c>
      <c r="P26" s="2" t="b">
        <f t="shared" si="1"/>
        <v>1</v>
      </c>
      <c r="Q26" s="2" t="b">
        <f t="shared" si="2"/>
        <v>1</v>
      </c>
      <c r="R26" s="2" t="b">
        <f t="shared" si="3"/>
        <v>1</v>
      </c>
      <c r="S26" s="2" t="b">
        <f t="shared" si="4"/>
        <v>1</v>
      </c>
      <c r="T26" s="2" t="b">
        <f t="shared" si="5"/>
        <v>1</v>
      </c>
      <c r="U26" s="2" t="b">
        <f t="shared" si="6"/>
        <v>1</v>
      </c>
      <c r="V26" s="2" t="b">
        <f t="shared" si="7"/>
        <v>1</v>
      </c>
      <c r="W26" s="2" t="b">
        <f t="shared" si="8"/>
        <v>1</v>
      </c>
      <c r="X26" s="2" t="b">
        <f t="shared" si="9"/>
        <v>1</v>
      </c>
      <c r="Y26" s="2" t="b">
        <f t="shared" si="10"/>
        <v>1</v>
      </c>
      <c r="Z26" s="2" t="b">
        <f t="shared" si="11"/>
        <v>1</v>
      </c>
      <c r="AA26" s="2" t="b">
        <f t="shared" si="12"/>
        <v>1</v>
      </c>
      <c r="AC26" s="2" t="s">
        <v>73</v>
      </c>
      <c r="AD26" s="2" t="s">
        <v>74</v>
      </c>
      <c r="AE26" s="2" t="s">
        <v>173</v>
      </c>
      <c r="AF26" s="2" t="s">
        <v>55</v>
      </c>
      <c r="AG26" s="2" t="s">
        <v>76</v>
      </c>
      <c r="AH26" s="2" t="s">
        <v>174</v>
      </c>
      <c r="AI26" s="2" t="s">
        <v>175</v>
      </c>
      <c r="AJ26" s="2" t="s">
        <v>175</v>
      </c>
      <c r="AK26" s="2" t="s">
        <v>145</v>
      </c>
      <c r="AL26" s="2" t="s">
        <v>60</v>
      </c>
      <c r="AM26" s="2" t="s">
        <v>177</v>
      </c>
      <c r="AN26" s="2" t="s">
        <v>177</v>
      </c>
      <c r="AO26" s="2" t="s">
        <v>82</v>
      </c>
    </row>
    <row r="27" spans="1:41" x14ac:dyDescent="0.25">
      <c r="A27" s="2" t="s">
        <v>73</v>
      </c>
      <c r="B27" s="2" t="s">
        <v>85</v>
      </c>
      <c r="C27" s="2" t="s">
        <v>178</v>
      </c>
      <c r="D27" s="2" t="s">
        <v>55</v>
      </c>
      <c r="E27" s="2" t="s">
        <v>76</v>
      </c>
      <c r="F27" s="2" t="s">
        <v>126</v>
      </c>
      <c r="G27" s="2" t="s">
        <v>179</v>
      </c>
      <c r="H27" s="2" t="s">
        <v>179</v>
      </c>
      <c r="I27" s="2" t="s">
        <v>91</v>
      </c>
      <c r="J27" s="2" t="s">
        <v>60</v>
      </c>
      <c r="K27" s="2" t="s">
        <v>180</v>
      </c>
      <c r="L27" s="2" t="s">
        <v>180</v>
      </c>
      <c r="M27" s="2" t="s">
        <v>82</v>
      </c>
      <c r="O27" s="2" t="b">
        <f t="shared" si="0"/>
        <v>1</v>
      </c>
      <c r="P27" s="2" t="b">
        <f t="shared" si="1"/>
        <v>1</v>
      </c>
      <c r="Q27" s="2" t="b">
        <f t="shared" si="2"/>
        <v>1</v>
      </c>
      <c r="R27" s="2" t="b">
        <f t="shared" si="3"/>
        <v>1</v>
      </c>
      <c r="S27" s="2" t="b">
        <f t="shared" si="4"/>
        <v>1</v>
      </c>
      <c r="T27" s="2" t="b">
        <f t="shared" si="5"/>
        <v>1</v>
      </c>
      <c r="U27" s="2" t="b">
        <f t="shared" si="6"/>
        <v>1</v>
      </c>
      <c r="V27" s="2" t="b">
        <f t="shared" si="7"/>
        <v>1</v>
      </c>
      <c r="W27" s="2" t="b">
        <f t="shared" si="8"/>
        <v>1</v>
      </c>
      <c r="X27" s="2" t="b">
        <f t="shared" si="9"/>
        <v>1</v>
      </c>
      <c r="Y27" s="2" t="b">
        <f t="shared" si="10"/>
        <v>1</v>
      </c>
      <c r="Z27" s="2" t="b">
        <f t="shared" si="11"/>
        <v>1</v>
      </c>
      <c r="AA27" s="2" t="b">
        <f t="shared" si="12"/>
        <v>1</v>
      </c>
      <c r="AC27" s="2" t="s">
        <v>73</v>
      </c>
      <c r="AD27" s="2" t="s">
        <v>85</v>
      </c>
      <c r="AE27" s="2" t="s">
        <v>178</v>
      </c>
      <c r="AF27" s="2" t="s">
        <v>55</v>
      </c>
      <c r="AG27" s="2" t="s">
        <v>76</v>
      </c>
      <c r="AH27" s="2" t="s">
        <v>126</v>
      </c>
      <c r="AI27" s="2" t="s">
        <v>179</v>
      </c>
      <c r="AJ27" s="2" t="s">
        <v>179</v>
      </c>
      <c r="AK27" s="2" t="s">
        <v>91</v>
      </c>
      <c r="AL27" s="2" t="s">
        <v>60</v>
      </c>
      <c r="AM27" s="2" t="s">
        <v>181</v>
      </c>
      <c r="AN27" s="2" t="s">
        <v>181</v>
      </c>
      <c r="AO27" s="2" t="s">
        <v>82</v>
      </c>
    </row>
    <row r="28" spans="1:41" x14ac:dyDescent="0.25">
      <c r="A28" s="2" t="s">
        <v>73</v>
      </c>
      <c r="B28" s="2" t="s">
        <v>85</v>
      </c>
      <c r="C28" s="2" t="s">
        <v>182</v>
      </c>
      <c r="D28" s="2" t="s">
        <v>55</v>
      </c>
      <c r="E28" s="2" t="s">
        <v>76</v>
      </c>
      <c r="F28" s="2" t="s">
        <v>126</v>
      </c>
      <c r="G28" s="2" t="s">
        <v>159</v>
      </c>
      <c r="H28" s="2" t="s">
        <v>159</v>
      </c>
      <c r="I28" s="2" t="s">
        <v>160</v>
      </c>
      <c r="J28" s="2" t="s">
        <v>60</v>
      </c>
      <c r="K28" s="2" t="s">
        <v>183</v>
      </c>
      <c r="L28" s="2" t="s">
        <v>183</v>
      </c>
      <c r="M28" s="2" t="s">
        <v>82</v>
      </c>
      <c r="O28" s="2" t="b">
        <f t="shared" si="0"/>
        <v>1</v>
      </c>
      <c r="P28" s="2" t="b">
        <f t="shared" si="1"/>
        <v>1</v>
      </c>
      <c r="Q28" s="2" t="b">
        <f t="shared" si="2"/>
        <v>1</v>
      </c>
      <c r="R28" s="2" t="b">
        <f t="shared" si="3"/>
        <v>1</v>
      </c>
      <c r="S28" s="2" t="b">
        <f t="shared" si="4"/>
        <v>1</v>
      </c>
      <c r="T28" s="2" t="b">
        <f t="shared" si="5"/>
        <v>1</v>
      </c>
      <c r="U28" s="2" t="b">
        <f t="shared" si="6"/>
        <v>1</v>
      </c>
      <c r="V28" s="2" t="b">
        <f t="shared" si="7"/>
        <v>1</v>
      </c>
      <c r="W28" s="2" t="b">
        <f t="shared" si="8"/>
        <v>1</v>
      </c>
      <c r="X28" s="2" t="b">
        <f t="shared" si="9"/>
        <v>1</v>
      </c>
      <c r="Y28" s="2" t="b">
        <f t="shared" si="10"/>
        <v>1</v>
      </c>
      <c r="Z28" s="2" t="b">
        <f t="shared" si="11"/>
        <v>1</v>
      </c>
      <c r="AA28" s="2" t="b">
        <f t="shared" si="12"/>
        <v>1</v>
      </c>
      <c r="AC28" s="2" t="s">
        <v>73</v>
      </c>
      <c r="AD28" s="2" t="s">
        <v>85</v>
      </c>
      <c r="AE28" s="2" t="s">
        <v>182</v>
      </c>
      <c r="AF28" s="2" t="s">
        <v>55</v>
      </c>
      <c r="AG28" s="2" t="s">
        <v>76</v>
      </c>
      <c r="AH28" s="2" t="s">
        <v>126</v>
      </c>
      <c r="AI28" s="2" t="s">
        <v>159</v>
      </c>
      <c r="AJ28" s="2" t="s">
        <v>159</v>
      </c>
      <c r="AK28" s="2" t="s">
        <v>160</v>
      </c>
      <c r="AL28" s="2" t="s">
        <v>60</v>
      </c>
      <c r="AM28" s="2" t="s">
        <v>184</v>
      </c>
      <c r="AN28" s="2" t="s">
        <v>184</v>
      </c>
      <c r="AO28" s="2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showGridLines="0" tabSelected="1" workbookViewId="0">
      <selection activeCell="C7" sqref="C7"/>
    </sheetView>
  </sheetViews>
  <sheetFormatPr defaultRowHeight="15" x14ac:dyDescent="0.25"/>
  <cols>
    <col min="1" max="1" width="37" customWidth="1"/>
    <col min="2" max="2" width="26" customWidth="1"/>
    <col min="3" max="3" width="46" customWidth="1"/>
    <col min="4" max="4" width="18" customWidth="1"/>
    <col min="5" max="5" width="15" customWidth="1"/>
    <col min="6" max="6" width="20" customWidth="1"/>
    <col min="7" max="7" width="17" customWidth="1"/>
  </cols>
  <sheetData>
    <row r="1" spans="1:7" x14ac:dyDescent="0.25">
      <c r="A1" s="3" t="s">
        <v>0</v>
      </c>
      <c r="B1" s="3" t="s">
        <v>1</v>
      </c>
    </row>
    <row r="2" spans="1:7" x14ac:dyDescent="0.25">
      <c r="A2" s="2" t="s">
        <v>2</v>
      </c>
    </row>
    <row r="4" spans="1:7" x14ac:dyDescent="0.25">
      <c r="A4" s="3" t="s">
        <v>3</v>
      </c>
    </row>
    <row r="5" spans="1:7" x14ac:dyDescent="0.25">
      <c r="A5" s="2" t="s">
        <v>2</v>
      </c>
    </row>
    <row r="7" spans="1:7" x14ac:dyDescent="0.25">
      <c r="C7" s="2" t="s">
        <v>4</v>
      </c>
    </row>
    <row r="10" spans="1:7" x14ac:dyDescent="0.25">
      <c r="A10" s="3" t="s">
        <v>5</v>
      </c>
      <c r="B10" s="2" t="s">
        <v>6</v>
      </c>
      <c r="C10" s="2" t="s">
        <v>7</v>
      </c>
      <c r="D10" s="2" t="s">
        <v>8</v>
      </c>
      <c r="E10" s="2" t="s">
        <v>9</v>
      </c>
      <c r="F10" s="2" t="s">
        <v>10</v>
      </c>
      <c r="G10" s="2" t="s">
        <v>11</v>
      </c>
    </row>
    <row r="11" spans="1:7" x14ac:dyDescent="0.25">
      <c r="A11" s="3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62983494-5E17-46EE-B965-1C3C2CDCBB80}"/>
</file>

<file path=customXml/itemProps2.xml><?xml version="1.0" encoding="utf-8"?>
<ds:datastoreItem xmlns:ds="http://schemas.openxmlformats.org/officeDocument/2006/customXml" ds:itemID="{697ECB2D-B0A5-4ADF-A1D1-91CB4CBA955F}"/>
</file>

<file path=customXml/itemProps3.xml><?xml version="1.0" encoding="utf-8"?>
<ds:datastoreItem xmlns:ds="http://schemas.openxmlformats.org/officeDocument/2006/customXml" ds:itemID="{4AC26BCD-4047-4EBB-A1BE-4A408925EB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Comparison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Bishop</cp:lastModifiedBy>
  <dcterms:created xsi:type="dcterms:W3CDTF">2026-07-07T01:37:31Z</dcterms:created>
  <dcterms:modified xsi:type="dcterms:W3CDTF">2026-07-10T16:12:19Z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